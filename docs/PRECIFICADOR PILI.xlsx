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821b13fe8b7b61/3. DANIEL ANDERS/Arquivos CLIENTES/PILI - Erechim/"/>
    </mc:Choice>
  </mc:AlternateContent>
  <xr:revisionPtr revIDLastSave="181" documentId="8_{4B174E76-DC3C-4125-8ACA-17926438B84C}" xr6:coauthVersionLast="47" xr6:coauthVersionMax="47" xr10:uidLastSave="{E8B88D0C-E7DD-4A85-B51A-CC8BA535E320}"/>
  <bookViews>
    <workbookView xWindow="28680" yWindow="-120" windowWidth="20730" windowHeight="11040" activeTab="1" xr2:uid="{F86EF76D-BF43-404A-A040-C00E99531FAA}"/>
  </bookViews>
  <sheets>
    <sheet name="PRECIFICADOR" sheetId="11" r:id="rId1"/>
    <sheet name="COMBINAÇÕES" sheetId="15" r:id="rId2"/>
  </sheets>
  <definedNames>
    <definedName name="_xlnm._FilterDatabase" localSheetId="1" hidden="1">COMBINAÇÕES!$A$1:$BL$1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1" l="1"/>
  <c r="F17" i="11"/>
  <c r="L22" i="11"/>
  <c r="G18" i="11"/>
  <c r="F18" i="11"/>
  <c r="G23" i="11"/>
  <c r="G22" i="11"/>
  <c r="F22" i="11"/>
  <c r="G21" i="11"/>
  <c r="F21" i="11"/>
  <c r="G20" i="11"/>
  <c r="F20" i="11"/>
  <c r="G19" i="11"/>
  <c r="F19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G9" i="11"/>
  <c r="F10" i="11"/>
  <c r="F9" i="11"/>
  <c r="G8" i="11"/>
  <c r="F8" i="11"/>
  <c r="G7" i="11"/>
  <c r="F7" i="11"/>
  <c r="G6" i="11"/>
  <c r="F6" i="11"/>
  <c r="G5" i="11"/>
  <c r="L2" i="11" s="1"/>
  <c r="F5" i="11"/>
  <c r="F4" i="11"/>
  <c r="BK4" i="15"/>
  <c r="F23" i="11" s="1"/>
  <c r="BK3" i="15"/>
  <c r="L6" i="11" l="1"/>
  <c r="L4" i="11"/>
  <c r="L2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Anders</author>
  </authors>
  <commentList>
    <comment ref="S1" authorId="0" shapeId="0" xr:uid="{0C959B4C-17C4-432D-B24A-CE3DC3777A7E}">
      <text>
        <r>
          <rPr>
            <b/>
            <sz val="9"/>
            <color indexed="81"/>
            <rFont val="Segoe UI"/>
            <charset val="1"/>
          </rPr>
          <t>dropbox</t>
        </r>
      </text>
    </comment>
    <comment ref="V1" authorId="0" shapeId="0" xr:uid="{2425700A-BA5A-4593-95C4-2EBFBDB08E62}">
      <text>
        <r>
          <rPr>
            <b/>
            <sz val="9"/>
            <color indexed="81"/>
            <rFont val="Segoe UI"/>
            <charset val="1"/>
          </rPr>
          <t>dropbox</t>
        </r>
      </text>
    </comment>
    <comment ref="AS3" authorId="0" shapeId="0" xr:uid="{62F6A0D3-FF18-4210-9645-3ACB3D3F7C0B}">
      <text>
        <r>
          <rPr>
            <b/>
            <sz val="9"/>
            <color indexed="81"/>
            <rFont val="Segoe UI"/>
            <charset val="1"/>
          </rPr>
          <t xml:space="preserve">abaixo do 18
</t>
        </r>
      </text>
    </comment>
    <comment ref="AW3" authorId="0" shapeId="0" xr:uid="{BD6048E4-CBCA-4CDA-BA6E-C3E7265FA6E2}">
      <text>
        <r>
          <rPr>
            <b/>
            <sz val="9"/>
            <color indexed="81"/>
            <rFont val="Segoe UI"/>
            <charset val="1"/>
          </rPr>
          <t xml:space="preserve">a partir de 21
</t>
        </r>
      </text>
    </comment>
    <comment ref="BA3" authorId="0" shapeId="0" xr:uid="{2292F75E-7D30-4833-824C-CAB60F7FDD4B}">
      <text>
        <r>
          <rPr>
            <b/>
            <sz val="9"/>
            <color indexed="81"/>
            <rFont val="Segoe UI"/>
            <charset val="1"/>
          </rPr>
          <t>somente em tombador com economizador</t>
        </r>
      </text>
    </comment>
  </commentList>
</comments>
</file>

<file path=xl/sharedStrings.xml><?xml version="1.0" encoding="utf-8"?>
<sst xmlns="http://schemas.openxmlformats.org/spreadsheetml/2006/main" count="175" uniqueCount="132">
  <si>
    <t>PRODUTO</t>
  </si>
  <si>
    <t>TAMANHO</t>
  </si>
  <si>
    <t>CENTRAL HIDRÁULICA</t>
  </si>
  <si>
    <t>PAINEL ELÉTRICO</t>
  </si>
  <si>
    <t>APLICAÇÃO DO CILINDRO</t>
  </si>
  <si>
    <t>Tombador</t>
  </si>
  <si>
    <t>INCLINAÇÃO</t>
  </si>
  <si>
    <t>PREÇO</t>
  </si>
  <si>
    <t>COD1</t>
  </si>
  <si>
    <t>COD2</t>
  </si>
  <si>
    <t>COD3</t>
  </si>
  <si>
    <t>COD4</t>
  </si>
  <si>
    <t>COD5</t>
  </si>
  <si>
    <t>COD6</t>
  </si>
  <si>
    <t>COD7</t>
  </si>
  <si>
    <t>COD8</t>
  </si>
  <si>
    <t>COD9</t>
  </si>
  <si>
    <t>TIPO DE PISO</t>
  </si>
  <si>
    <t>TRAVA PINO</t>
  </si>
  <si>
    <t>FATOR</t>
  </si>
  <si>
    <t>COD10</t>
  </si>
  <si>
    <t>COD11</t>
  </si>
  <si>
    <t>TIPO DE MOLDURA</t>
  </si>
  <si>
    <t>TIPO DE RAMPA</t>
  </si>
  <si>
    <t>ENCLAUSURAMENTO</t>
  </si>
  <si>
    <t>TIPO DE PORTÃO</t>
  </si>
  <si>
    <t>TIPO DE CALÇO</t>
  </si>
  <si>
    <t>TIPO DE PEDESTAL</t>
  </si>
  <si>
    <t>TIPO DE CALHA</t>
  </si>
  <si>
    <t>TRAVA CHASSI</t>
  </si>
  <si>
    <t>KIT DIÁLISE</t>
  </si>
  <si>
    <t>COD12</t>
  </si>
  <si>
    <t>COD13</t>
  </si>
  <si>
    <t>COD14</t>
  </si>
  <si>
    <t>COD15</t>
  </si>
  <si>
    <t>COD16</t>
  </si>
  <si>
    <t>COD17</t>
  </si>
  <si>
    <t>QT</t>
  </si>
  <si>
    <t>COD19</t>
  </si>
  <si>
    <t>[11/12] Externo</t>
  </si>
  <si>
    <t>[18/21] Externo</t>
  </si>
  <si>
    <t>[11/12] Um jogo de rampas fixas</t>
  </si>
  <si>
    <t>[11/12] Dois jogos de rampas fixas</t>
  </si>
  <si>
    <t>[11/12] Um jogo de rampa móveis</t>
  </si>
  <si>
    <t>[18/21/26/30] Sem rampa</t>
  </si>
  <si>
    <t>[18/21/26/30] Um jogo de rampas fixas</t>
  </si>
  <si>
    <t>[18/21/26/30] Dois jogos de rampas fixas</t>
  </si>
  <si>
    <t>[18/21/26/30] Um jogo de rampas com cilindro</t>
  </si>
  <si>
    <t>[18/21/26/30] Dois jogos de rampas com cilindros</t>
  </si>
  <si>
    <t>[11/12] Sem moldura</t>
  </si>
  <si>
    <t>[11/12] 1/4 moldura</t>
  </si>
  <si>
    <t>[11/12] 1/2 moldura</t>
  </si>
  <si>
    <t>[11/12] Moldura completa</t>
  </si>
  <si>
    <t>[18/21/26/30] Sem moldura</t>
  </si>
  <si>
    <t>[18/21/26/30]  1/4 moldura</t>
  </si>
  <si>
    <t>[18/21/26/30]  1/2 moldura</t>
  </si>
  <si>
    <t>[18/21/26/30]  Moldura completa</t>
  </si>
  <si>
    <t>[11/12] Piso fechado</t>
  </si>
  <si>
    <t>[18] Piso fechado</t>
  </si>
  <si>
    <t>[21/26/30] Piso fechado</t>
  </si>
  <si>
    <t>[21/26/30] Piso gradeado</t>
  </si>
  <si>
    <t>[11/12] 40</t>
  </si>
  <si>
    <t>COD20</t>
  </si>
  <si>
    <t>TELEMETRIA PILI TECH</t>
  </si>
  <si>
    <t>ASSINATURA PILI TECH</t>
  </si>
  <si>
    <t>COD21</t>
  </si>
  <si>
    <t>DESCONTO</t>
  </si>
  <si>
    <t>[30] Externo</t>
  </si>
  <si>
    <t>[26] Externo</t>
  </si>
  <si>
    <t xml:space="preserve"> [11/12] Dois jogos de rampas móveis</t>
  </si>
  <si>
    <t>[11/12/18/21/26/30] Com trava pino</t>
  </si>
  <si>
    <t>[21/26/30] Trava chassi móvel</t>
  </si>
  <si>
    <t>COMISSÃO</t>
  </si>
  <si>
    <t>PILI TECH</t>
  </si>
  <si>
    <t>11 metros</t>
  </si>
  <si>
    <t>12 metros</t>
  </si>
  <si>
    <t>18 metros</t>
  </si>
  <si>
    <t>21 metros</t>
  </si>
  <si>
    <t>26 metros</t>
  </si>
  <si>
    <t>30 metros</t>
  </si>
  <si>
    <t>VALOR TOTAL</t>
  </si>
  <si>
    <t>QUANTIDADE</t>
  </si>
  <si>
    <t>[11/12/18/21/26/30] 35</t>
  </si>
  <si>
    <t>[11/12/18/21/26/30] Sem</t>
  </si>
  <si>
    <t>[11/12/18/21/26/30] Controle remoto sem fio</t>
  </si>
  <si>
    <t>[11/12/18/21/26/30] Controle remoto com fio</t>
  </si>
  <si>
    <t>[11/12/18/21/26/30] Interno</t>
  </si>
  <si>
    <t>[11/12] Sem rampa</t>
  </si>
  <si>
    <t>[11/12/18/21/26/30] Sem trava pino</t>
  </si>
  <si>
    <t>[11/12/18/21/26/30] Sem enclausuramento</t>
  </si>
  <si>
    <t>[11/12/18/21/26/30] Portão do motorista (fechadura e tubulação elétrica)</t>
  </si>
  <si>
    <t>[11/12/18/21/26/30] Portão do caminhão (entrada ou saída) (fechadura e tubulação elétrica)</t>
  </si>
  <si>
    <t>[11/12/18/21/26/30] Sem calço mecânico</t>
  </si>
  <si>
    <t>[11/12/18/21/26/30] Com calço mecânico manual</t>
  </si>
  <si>
    <t>[11/12/18/21/26/30] Com calço mecânico hidráulico</t>
  </si>
  <si>
    <t>[11/12/18/21/26/30] Sem pedestal do motorista</t>
  </si>
  <si>
    <t>[11/12/18/21/26/30] Com pedestal do motorista</t>
  </si>
  <si>
    <t>[11/12/18/21/26/30] Sem calha lateral</t>
  </si>
  <si>
    <t>[11/12/18/21/26/30] Trava chassi fixo</t>
  </si>
  <si>
    <t>[11/12/18/21/26/30] Sem kit diálise [SEM ENCONOMIZADOR]</t>
  </si>
  <si>
    <t>[11/12/18/21/26/30] Com kit diálise [COM ECONOMIZADOR]</t>
  </si>
  <si>
    <t>ID</t>
  </si>
  <si>
    <t>GRUPO</t>
  </si>
  <si>
    <t>SUB-GRUPO</t>
  </si>
  <si>
    <t>A PARTIR DE</t>
  </si>
  <si>
    <t>VALOR</t>
  </si>
  <si>
    <t>[11/12/18/21/26/30] Sem portão</t>
  </si>
  <si>
    <t>[18] 40</t>
  </si>
  <si>
    <t>[11/12] Contrapeso, 105 segundos de subida</t>
  </si>
  <si>
    <t>[11/12] Manual, 105 segundos de subida</t>
  </si>
  <si>
    <t>[11/12] Elétrico, 105 segundos de subida</t>
  </si>
  <si>
    <t>[18] Motor 1x40 CV + 1x40 CV + 550 litros de óleo, com economizador, 40 graus, 155 segundos de subida</t>
  </si>
  <si>
    <t>[18] Motor 1x30 CV, 550 litros de óleo, sem economizador, com estrela triângulo, 35 graus, 175 segundos de subida</t>
  </si>
  <si>
    <t>[18] Motor 1x40 CV + 700 litros de óleo, sem econmizador, 40 graus, 155 segundos de subida</t>
  </si>
  <si>
    <t>[21] Motor 1x50 CV + 1x4 CV + 550 litros de óleo, com economizador de energia, 40 graus, 155 segundos de subida</t>
  </si>
  <si>
    <t>[21] Motor 1x50 CV + 700 litros de óleo, sem economizador de energia, 40 graus, 155 segundos de subida</t>
  </si>
  <si>
    <t>[21] Motor 1x30 CV, 550 litros de óleo, sem economizador, com estrela triângulo, 35 graus, 210 segundos de subida</t>
  </si>
  <si>
    <t>[26] Motor 2x50 CV + 1x4 CV + 1000 litros de óleo, com economizado de energia, 40 graus, 135 segundos de subida</t>
  </si>
  <si>
    <t>[26] Motor 1x60 CV + 1500 litros de óleo, sem economizador de energia, 40 graus, 225 segundos de subida</t>
  </si>
  <si>
    <t>[30] Motor 2x50 CV + 1x4 CV + 1000 litros de óleo, com economizado de energia, 40 graus, 180 segundos de subida</t>
  </si>
  <si>
    <t>[30] Motor 1x60 CV + 1500 litros de óleo, sem economizador de energia, 40 graus, 300 segundos de subida</t>
  </si>
  <si>
    <t>[11/12] Moldura móvel (obrigatório escolher tipo de rampa)</t>
  </si>
  <si>
    <t>[18]  Moldura móvel (obrigatório escolher tipo de rampa)</t>
  </si>
  <si>
    <t>[21]  Moldura móvel (obrigatório escolher tipo de rampa)</t>
  </si>
  <si>
    <t>[11/12//18/21/26/30] Com enclasuramento com módulo de 2,5 m de comprimento x 2,0 m de altura</t>
  </si>
  <si>
    <t>qt</t>
  </si>
  <si>
    <t>TIPO DE PEDESTAL DO MOTORISTA</t>
  </si>
  <si>
    <t>[11/12/18/26/30] Com calha lateral 2 x 3,00 m de comprimento x 1,25 m de altura</t>
  </si>
  <si>
    <t>[11/12/18/21/26/30] Sem Pili Tech</t>
  </si>
  <si>
    <t>[11/12/18/21/26/30] Com Pili Tech</t>
  </si>
  <si>
    <t>[11/12/18/21/26/30] Sem assinatura</t>
  </si>
  <si>
    <t>[11/12/18/21/26/30] Com 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</si>
</sst>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0.000"/>
    <numFmt numFmtId="166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indexed="81"/>
      <name val="Segoe UI"/>
      <charset val="1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E0000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164" fontId="0" fillId="2" borderId="0" xfId="0" quotePrefix="1" applyNumberFormat="1" applyFill="1" applyAlignment="1">
      <alignment horizontal="center" vertical="center" wrapText="1"/>
    </xf>
    <xf numFmtId="0" fontId="0" fillId="2" borderId="0" xfId="0" quotePrefix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166" fontId="0" fillId="2" borderId="0" xfId="0" applyNumberFormat="1" applyFill="1" applyAlignment="1">
      <alignment horizontal="center" vertical="center" wrapText="1"/>
    </xf>
    <xf numFmtId="10" fontId="0" fillId="2" borderId="0" xfId="0" applyNumberFormat="1" applyFill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0" fontId="2" fillId="0" borderId="4" xfId="0" applyFont="1" applyBorder="1" applyAlignment="1">
      <alignment vertical="center"/>
    </xf>
    <xf numFmtId="0" fontId="2" fillId="0" borderId="4" xfId="1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/>
    </xf>
    <xf numFmtId="10" fontId="2" fillId="3" borderId="3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3" borderId="5" xfId="1" applyNumberFormat="1" applyFont="1" applyFill="1" applyBorder="1" applyAlignment="1">
      <alignment horizontal="center" vertical="center" wrapText="1"/>
    </xf>
    <xf numFmtId="0" fontId="2" fillId="3" borderId="6" xfId="1" applyNumberFormat="1" applyFont="1" applyFill="1" applyBorder="1" applyAlignment="1">
      <alignment horizontal="center" vertical="center" wrapText="1"/>
    </xf>
    <xf numFmtId="0" fontId="2" fillId="3" borderId="7" xfId="1" applyNumberFormat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1" dropStyle="combo" dx="26" fmlaLink="$H$4" fmlaRange="COMBINAÇÕES!$B$2" sel="1" val="0"/>
</file>

<file path=xl/ctrlProps/ctrlProp2.xml><?xml version="1.0" encoding="utf-8"?>
<formControlPr xmlns="http://schemas.microsoft.com/office/spreadsheetml/2009/9/main" objectType="Drop" dropLines="6" dropStyle="combo" dx="26" fmlaLink="$H$5" fmlaRange="COMBINAÇÕES!$D$2:$D$7" sel="2" val="0"/>
</file>

<file path=xl/ctrlProps/ctrlProp3.xml><?xml version="1.0" encoding="utf-8"?>
<formControlPr xmlns="http://schemas.microsoft.com/office/spreadsheetml/2009/9/main" objectType="Drop" dropLines="3" dropStyle="combo" dx="26" fmlaLink="$H$7" fmlaRange="COMBINAÇÕES!$G$2:$G$4" sel="1" val="0"/>
</file>

<file path=xl/ctrlProps/ctrlProp4.xml><?xml version="1.0" encoding="utf-8"?>
<formControlPr xmlns="http://schemas.microsoft.com/office/spreadsheetml/2009/9/main" objectType="Drop" dropLines="14" dropStyle="combo" dx="26" fmlaLink="$H$18" fmlaRange="COMBINAÇÕES!$J$2:$J$15" sel="3" val="0"/>
</file>

<file path=xl/ctrlProps/ctrlProp5.xml><?xml version="1.0" encoding="utf-8"?>
<formControlPr xmlns="http://schemas.microsoft.com/office/spreadsheetml/2009/9/main" objectType="Drop" dropLines="3" dropStyle="combo" dx="26" fmlaLink="$H$19" fmlaRange="COMBINAÇÕES!$M$2:$M$4" sel="2" val="0"/>
</file>

<file path=xl/ctrlProps/ctrlProp6.xml><?xml version="1.0" encoding="utf-8"?>
<formControlPr xmlns="http://schemas.microsoft.com/office/spreadsheetml/2009/9/main" objectType="Drop" dropLines="2" dropStyle="combo" dx="26" fmlaLink="$H$21" fmlaRange="COMBINAÇÕES!$BD$2:$BD$3" sel="1" val="0"/>
</file>

<file path=xl/ctrlProps/ctrlProp7.xml><?xml version="1.0" encoding="utf-8"?>
<formControlPr xmlns="http://schemas.microsoft.com/office/spreadsheetml/2009/9/main" objectType="Drop" dropLines="3" dropStyle="combo" dx="26" fmlaLink="$H$23" fmlaRange="COMBINAÇÕES!$BK$2:$BK$4" sel="3" val="0"/>
</file>

<file path=xl/ctrlProps/ctrlProp8.xml><?xml version="1.0" encoding="utf-8"?>
<formControlPr xmlns="http://schemas.microsoft.com/office/spreadsheetml/2009/9/main" objectType="Drop" dropLines="2" dropStyle="combo" dx="26" fmlaLink="$H$22" fmlaRange="COMBINAÇÕES!$BG$2:$BG$3" sel="1" val="0"/>
</file>

<file path=xl/ctrlProps/ctrlProp9.xml><?xml version="1.0" encoding="utf-8"?>
<formControlPr xmlns="http://schemas.microsoft.com/office/spreadsheetml/2009/9/main" objectType="Drop" dropLines="6" dropStyle="combo" dx="26" fmlaLink="$H$6" fmlaRange="COMBINAÇÕES!$AB$2:$AB$7" sel="2" val="0"/>
</file>

<file path=xl/ctrlProps/ctrlProp10.xml><?xml version="1.0" encoding="utf-8"?>
<formControlPr xmlns="http://schemas.microsoft.com/office/spreadsheetml/2009/9/main" objectType="Drop" dropLines="4" dropStyle="combo" dx="26" fmlaLink="$H$8" fmlaRange="COMBINAÇÕES!$P$2:$P$5" sel="1" val="0"/>
</file>

<file path=xl/ctrlProps/ctrlProp11.xml><?xml version="1.0" encoding="utf-8"?>
<formControlPr xmlns="http://schemas.microsoft.com/office/spreadsheetml/2009/9/main" objectType="Drop" dropLines="2" dropStyle="combo" dx="26" fmlaLink="$H$20" fmlaRange="COMBINAÇÕES!$BA$2:$BA$3" sel="1" val="0"/>
</file>

<file path=xl/ctrlProps/ctrlProp12.xml><?xml version="1.0" encoding="utf-8"?>
<formControlPr xmlns="http://schemas.microsoft.com/office/spreadsheetml/2009/9/main" objectType="Drop" dropLines="10" dropStyle="combo" dx="26" fmlaLink="$H$9" fmlaRange="COMBINAÇÕES!$V$2:$V$11" sel="2" val="0"/>
</file>

<file path=xl/ctrlProps/ctrlProp13.xml><?xml version="1.0" encoding="utf-8"?>
<formControlPr xmlns="http://schemas.microsoft.com/office/spreadsheetml/2009/9/main" objectType="Drop" dropLines="10" dropStyle="combo" dx="26" fmlaLink="$H$10" fmlaRange="COMBINAÇÕES!$S$2:$S$11" sel="2" val="0"/>
</file>

<file path=xl/ctrlProps/ctrlProp14.xml><?xml version="1.0" encoding="utf-8"?>
<formControlPr xmlns="http://schemas.microsoft.com/office/spreadsheetml/2009/9/main" objectType="Drop" dropLines="3" dropStyle="combo" dx="26" fmlaLink="$H$11" fmlaRange="COMBINAÇÕES!$AS$2:$AS$4" sel="1" val="0"/>
</file>

<file path=xl/ctrlProps/ctrlProp15.xml><?xml version="1.0" encoding="utf-8"?>
<formControlPr xmlns="http://schemas.microsoft.com/office/spreadsheetml/2009/9/main" objectType="Drop" dropLines="3" dropStyle="combo" dx="26" fmlaLink="$H$12" fmlaRange="COMBINAÇÕES!$AW$2:$AW$4" sel="2" val="0"/>
</file>

<file path=xl/ctrlProps/ctrlProp16.xml><?xml version="1.0" encoding="utf-8"?>
<formControlPr xmlns="http://schemas.microsoft.com/office/spreadsheetml/2009/9/main" objectType="Drop" dropLines="2" dropStyle="combo" dx="26" fmlaLink="$H$13" fmlaRange="COMBINAÇÕES!$Y$2:$Y$3" sel="2" val="0"/>
</file>

<file path=xl/ctrlProps/ctrlProp17.xml><?xml version="1.0" encoding="utf-8"?>
<formControlPr xmlns="http://schemas.microsoft.com/office/spreadsheetml/2009/9/main" objectType="Drop" dropLines="3" dropStyle="combo" dx="26" fmlaLink="$H$14" fmlaRange="COMBINAÇÕES!$AM$2:$AM$4" sel="2" val="0"/>
</file>

<file path=xl/ctrlProps/ctrlProp18.xml><?xml version="1.0" encoding="utf-8"?>
<formControlPr xmlns="http://schemas.microsoft.com/office/spreadsheetml/2009/9/main" objectType="Drop" dropLines="2" dropStyle="combo" dx="26" fmlaLink="$H$15" fmlaRange="COMBINAÇÕES!$AP$2:$AP$3" sel="2" val="0"/>
</file>

<file path=xl/ctrlProps/ctrlProp19.xml><?xml version="1.0" encoding="utf-8"?>
<formControlPr xmlns="http://schemas.microsoft.com/office/spreadsheetml/2009/9/main" objectType="Drop" dropLines="4" dropStyle="combo" dx="26" fmlaLink="$H$16" fmlaRange="COMBINAÇÕES!$AE$2:$AE$5" sel="2" val="0"/>
</file>

<file path=xl/ctrlProps/ctrlProp20.xml><?xml version="1.0" encoding="utf-8"?>
<formControlPr xmlns="http://schemas.microsoft.com/office/spreadsheetml/2009/9/main" objectType="Drop" dropLines="4" dropStyle="combo" dx="26" fmlaLink="$H$17" fmlaRange="COMBINAÇÕES!$AI$2:$AI$5" sel="4" val="0"/>
</file>

<file path=xl/ctrlProps/ctrlProp21.xml><?xml version="1.0" encoding="utf-8"?>
<formControlPr xmlns="http://schemas.microsoft.com/office/spreadsheetml/2009/9/main" objectType="Drop" dropLines="5" dropStyle="combo" dx="26" fmlaLink="$I$11" fmlaRange="COMBINAÇÕES!$BN$2:$BN$6" sel="1" val="0"/>
</file>

<file path=xl/ctrlProps/ctrlProp22.xml><?xml version="1.0" encoding="utf-8"?>
<formControlPr xmlns="http://schemas.microsoft.com/office/spreadsheetml/2009/9/main" objectType="Drop" dropLines="5" dropStyle="combo" dx="26" fmlaLink="$I$11" fmlaRange="COMBINAÇÕES!$BN$2:$BN$6" sel="1" val="0"/>
</file>

<file path=xl/ctrlProps/ctrlProp23.xml><?xml version="1.0" encoding="utf-8"?>
<formControlPr xmlns="http://schemas.microsoft.com/office/spreadsheetml/2009/9/main" objectType="Drop" dropLines="5" dropStyle="combo" dx="26" fmlaLink="$I$11" fmlaRange="COMBINAÇÕES!$BN$2:$BN$6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</xdr:row>
          <xdr:rowOff>47625</xdr:rowOff>
        </xdr:from>
        <xdr:to>
          <xdr:col>3</xdr:col>
          <xdr:colOff>2886075</xdr:colOff>
          <xdr:row>3</xdr:row>
          <xdr:rowOff>247650</xdr:rowOff>
        </xdr:to>
        <xdr:sp macro="" textlink="">
          <xdr:nvSpPr>
            <xdr:cNvPr id="10241" name="Drop Dow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4</xdr:row>
          <xdr:rowOff>47625</xdr:rowOff>
        </xdr:from>
        <xdr:to>
          <xdr:col>3</xdr:col>
          <xdr:colOff>2886075</xdr:colOff>
          <xdr:row>4</xdr:row>
          <xdr:rowOff>247650</xdr:rowOff>
        </xdr:to>
        <xdr:sp macro="" textlink="">
          <xdr:nvSpPr>
            <xdr:cNvPr id="10242" name="Drop Down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47625</xdr:rowOff>
        </xdr:from>
        <xdr:to>
          <xdr:col>3</xdr:col>
          <xdr:colOff>2886075</xdr:colOff>
          <xdr:row>6</xdr:row>
          <xdr:rowOff>247650</xdr:rowOff>
        </xdr:to>
        <xdr:sp macro="" textlink="">
          <xdr:nvSpPr>
            <xdr:cNvPr id="10243" name="Drop Down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0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17</xdr:row>
          <xdr:rowOff>47625</xdr:rowOff>
        </xdr:from>
        <xdr:to>
          <xdr:col>3</xdr:col>
          <xdr:colOff>2886075</xdr:colOff>
          <xdr:row>17</xdr:row>
          <xdr:rowOff>247650</xdr:rowOff>
        </xdr:to>
        <xdr:sp macro="" textlink="">
          <xdr:nvSpPr>
            <xdr:cNvPr id="10244" name="Drop Down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0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18</xdr:row>
          <xdr:rowOff>47625</xdr:rowOff>
        </xdr:from>
        <xdr:to>
          <xdr:col>3</xdr:col>
          <xdr:colOff>2886075</xdr:colOff>
          <xdr:row>18</xdr:row>
          <xdr:rowOff>247650</xdr:rowOff>
        </xdr:to>
        <xdr:sp macro="" textlink="">
          <xdr:nvSpPr>
            <xdr:cNvPr id="10245" name="Drop Down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0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20</xdr:row>
          <xdr:rowOff>47625</xdr:rowOff>
        </xdr:from>
        <xdr:to>
          <xdr:col>3</xdr:col>
          <xdr:colOff>2886075</xdr:colOff>
          <xdr:row>20</xdr:row>
          <xdr:rowOff>247650</xdr:rowOff>
        </xdr:to>
        <xdr:sp macro="" textlink="">
          <xdr:nvSpPr>
            <xdr:cNvPr id="10260" name="Drop Down 20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0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22</xdr:row>
          <xdr:rowOff>47625</xdr:rowOff>
        </xdr:from>
        <xdr:to>
          <xdr:col>3</xdr:col>
          <xdr:colOff>2886075</xdr:colOff>
          <xdr:row>22</xdr:row>
          <xdr:rowOff>247650</xdr:rowOff>
        </xdr:to>
        <xdr:sp macro="" textlink="">
          <xdr:nvSpPr>
            <xdr:cNvPr id="10261" name="Drop Down 21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0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21</xdr:row>
          <xdr:rowOff>47625</xdr:rowOff>
        </xdr:from>
        <xdr:to>
          <xdr:col>3</xdr:col>
          <xdr:colOff>2886075</xdr:colOff>
          <xdr:row>21</xdr:row>
          <xdr:rowOff>247650</xdr:rowOff>
        </xdr:to>
        <xdr:sp macro="" textlink="">
          <xdr:nvSpPr>
            <xdr:cNvPr id="10262" name="Drop Down 22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0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5</xdr:row>
          <xdr:rowOff>47625</xdr:rowOff>
        </xdr:from>
        <xdr:to>
          <xdr:col>3</xdr:col>
          <xdr:colOff>2886075</xdr:colOff>
          <xdr:row>5</xdr:row>
          <xdr:rowOff>247650</xdr:rowOff>
        </xdr:to>
        <xdr:sp macro="" textlink="">
          <xdr:nvSpPr>
            <xdr:cNvPr id="10263" name="Drop Down 23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0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47625</xdr:rowOff>
        </xdr:from>
        <xdr:to>
          <xdr:col>3</xdr:col>
          <xdr:colOff>2886075</xdr:colOff>
          <xdr:row>7</xdr:row>
          <xdr:rowOff>247650</xdr:rowOff>
        </xdr:to>
        <xdr:sp macro="" textlink="">
          <xdr:nvSpPr>
            <xdr:cNvPr id="10264" name="Drop Down 24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00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19</xdr:row>
          <xdr:rowOff>47625</xdr:rowOff>
        </xdr:from>
        <xdr:to>
          <xdr:col>3</xdr:col>
          <xdr:colOff>2886075</xdr:colOff>
          <xdr:row>19</xdr:row>
          <xdr:rowOff>247650</xdr:rowOff>
        </xdr:to>
        <xdr:sp macro="" textlink="">
          <xdr:nvSpPr>
            <xdr:cNvPr id="10265" name="Drop Down 25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00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47625</xdr:rowOff>
        </xdr:from>
        <xdr:to>
          <xdr:col>3</xdr:col>
          <xdr:colOff>2886075</xdr:colOff>
          <xdr:row>8</xdr:row>
          <xdr:rowOff>247650</xdr:rowOff>
        </xdr:to>
        <xdr:sp macro="" textlink="">
          <xdr:nvSpPr>
            <xdr:cNvPr id="10266" name="Drop Down 26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0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47625</xdr:rowOff>
        </xdr:from>
        <xdr:to>
          <xdr:col>3</xdr:col>
          <xdr:colOff>2886075</xdr:colOff>
          <xdr:row>9</xdr:row>
          <xdr:rowOff>247650</xdr:rowOff>
        </xdr:to>
        <xdr:sp macro="" textlink="">
          <xdr:nvSpPr>
            <xdr:cNvPr id="10268" name="Drop Down 28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0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10</xdr:row>
          <xdr:rowOff>47625</xdr:rowOff>
        </xdr:from>
        <xdr:to>
          <xdr:col>3</xdr:col>
          <xdr:colOff>2886075</xdr:colOff>
          <xdr:row>10</xdr:row>
          <xdr:rowOff>247650</xdr:rowOff>
        </xdr:to>
        <xdr:sp macro="" textlink="">
          <xdr:nvSpPr>
            <xdr:cNvPr id="10269" name="Drop Down 29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0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11</xdr:row>
          <xdr:rowOff>47625</xdr:rowOff>
        </xdr:from>
        <xdr:to>
          <xdr:col>3</xdr:col>
          <xdr:colOff>2886075</xdr:colOff>
          <xdr:row>11</xdr:row>
          <xdr:rowOff>247650</xdr:rowOff>
        </xdr:to>
        <xdr:sp macro="" textlink="">
          <xdr:nvSpPr>
            <xdr:cNvPr id="10271" name="Drop Down 31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00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12</xdr:row>
          <xdr:rowOff>47625</xdr:rowOff>
        </xdr:from>
        <xdr:to>
          <xdr:col>3</xdr:col>
          <xdr:colOff>2886075</xdr:colOff>
          <xdr:row>12</xdr:row>
          <xdr:rowOff>247650</xdr:rowOff>
        </xdr:to>
        <xdr:sp macro="" textlink="">
          <xdr:nvSpPr>
            <xdr:cNvPr id="10275" name="Drop Down 35" hidden="1">
              <a:extLst>
                <a:ext uri="{63B3BB69-23CF-44E3-9099-C40C66FF867C}">
                  <a14:compatExt spid="_x0000_s10275"/>
                </a:ext>
                <a:ext uri="{FF2B5EF4-FFF2-40B4-BE49-F238E27FC236}">
                  <a16:creationId xmlns:a16="http://schemas.microsoft.com/office/drawing/2014/main" id="{00000000-0008-0000-0000-00002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13</xdr:row>
          <xdr:rowOff>47625</xdr:rowOff>
        </xdr:from>
        <xdr:to>
          <xdr:col>3</xdr:col>
          <xdr:colOff>2886075</xdr:colOff>
          <xdr:row>13</xdr:row>
          <xdr:rowOff>247650</xdr:rowOff>
        </xdr:to>
        <xdr:sp macro="" textlink="">
          <xdr:nvSpPr>
            <xdr:cNvPr id="10276" name="Drop Down 36" hidden="1">
              <a:extLst>
                <a:ext uri="{63B3BB69-23CF-44E3-9099-C40C66FF867C}">
                  <a14:compatExt spid="_x0000_s10276"/>
                </a:ext>
                <a:ext uri="{FF2B5EF4-FFF2-40B4-BE49-F238E27FC236}">
                  <a16:creationId xmlns:a16="http://schemas.microsoft.com/office/drawing/2014/main" id="{00000000-0008-0000-0000-00002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14</xdr:row>
          <xdr:rowOff>47625</xdr:rowOff>
        </xdr:from>
        <xdr:to>
          <xdr:col>3</xdr:col>
          <xdr:colOff>2886075</xdr:colOff>
          <xdr:row>14</xdr:row>
          <xdr:rowOff>247650</xdr:rowOff>
        </xdr:to>
        <xdr:sp macro="" textlink="">
          <xdr:nvSpPr>
            <xdr:cNvPr id="10277" name="Drop Down 37" hidden="1">
              <a:extLst>
                <a:ext uri="{63B3BB69-23CF-44E3-9099-C40C66FF867C}">
                  <a14:compatExt spid="_x0000_s10277"/>
                </a:ext>
                <a:ext uri="{FF2B5EF4-FFF2-40B4-BE49-F238E27FC236}">
                  <a16:creationId xmlns:a16="http://schemas.microsoft.com/office/drawing/2014/main" id="{00000000-0008-0000-0000-00002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15</xdr:row>
          <xdr:rowOff>47625</xdr:rowOff>
        </xdr:from>
        <xdr:to>
          <xdr:col>3</xdr:col>
          <xdr:colOff>2886075</xdr:colOff>
          <xdr:row>15</xdr:row>
          <xdr:rowOff>247650</xdr:rowOff>
        </xdr:to>
        <xdr:sp macro="" textlink="">
          <xdr:nvSpPr>
            <xdr:cNvPr id="10283" name="Drop Down 43" hidden="1">
              <a:extLst>
                <a:ext uri="{63B3BB69-23CF-44E3-9099-C40C66FF867C}">
                  <a14:compatExt spid="_x0000_s10283"/>
                </a:ext>
                <a:ext uri="{FF2B5EF4-FFF2-40B4-BE49-F238E27FC236}">
                  <a16:creationId xmlns:a16="http://schemas.microsoft.com/office/drawing/2014/main" id="{00000000-0008-0000-0000-00002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16</xdr:row>
          <xdr:rowOff>47625</xdr:rowOff>
        </xdr:from>
        <xdr:to>
          <xdr:col>3</xdr:col>
          <xdr:colOff>2886075</xdr:colOff>
          <xdr:row>16</xdr:row>
          <xdr:rowOff>247650</xdr:rowOff>
        </xdr:to>
        <xdr:sp macro="" textlink="">
          <xdr:nvSpPr>
            <xdr:cNvPr id="10284" name="Drop Down 44" hidden="1">
              <a:extLst>
                <a:ext uri="{63B3BB69-23CF-44E3-9099-C40C66FF867C}">
                  <a14:compatExt spid="_x0000_s10284"/>
                </a:ext>
                <a:ext uri="{FF2B5EF4-FFF2-40B4-BE49-F238E27FC236}">
                  <a16:creationId xmlns:a16="http://schemas.microsoft.com/office/drawing/2014/main" id="{00000000-0008-0000-0000-00002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10</xdr:row>
          <xdr:rowOff>47625</xdr:rowOff>
        </xdr:from>
        <xdr:to>
          <xdr:col>4</xdr:col>
          <xdr:colOff>590550</xdr:colOff>
          <xdr:row>10</xdr:row>
          <xdr:rowOff>257175</xdr:rowOff>
        </xdr:to>
        <xdr:sp macro="" textlink="">
          <xdr:nvSpPr>
            <xdr:cNvPr id="10288" name="Drop Down 48" hidden="1">
              <a:extLst>
                <a:ext uri="{63B3BB69-23CF-44E3-9099-C40C66FF867C}">
                  <a14:compatExt spid="_x0000_s10288"/>
                </a:ext>
                <a:ext uri="{FF2B5EF4-FFF2-40B4-BE49-F238E27FC236}">
                  <a16:creationId xmlns:a16="http://schemas.microsoft.com/office/drawing/2014/main" id="{00000000-0008-0000-0000-00003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21</xdr:row>
          <xdr:rowOff>47625</xdr:rowOff>
        </xdr:from>
        <xdr:to>
          <xdr:col>4</xdr:col>
          <xdr:colOff>590550</xdr:colOff>
          <xdr:row>21</xdr:row>
          <xdr:rowOff>257175</xdr:rowOff>
        </xdr:to>
        <xdr:sp macro="" textlink="">
          <xdr:nvSpPr>
            <xdr:cNvPr id="10289" name="Drop Down 49" hidden="1">
              <a:extLst>
                <a:ext uri="{63B3BB69-23CF-44E3-9099-C40C66FF867C}">
                  <a14:compatExt spid="_x0000_s10289"/>
                </a:ext>
                <a:ext uri="{FF2B5EF4-FFF2-40B4-BE49-F238E27FC236}">
                  <a16:creationId xmlns:a16="http://schemas.microsoft.com/office/drawing/2014/main" id="{00000000-0008-0000-0000-00003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16</xdr:row>
          <xdr:rowOff>47625</xdr:rowOff>
        </xdr:from>
        <xdr:to>
          <xdr:col>4</xdr:col>
          <xdr:colOff>590550</xdr:colOff>
          <xdr:row>16</xdr:row>
          <xdr:rowOff>257175</xdr:rowOff>
        </xdr:to>
        <xdr:sp macro="" textlink="">
          <xdr:nvSpPr>
            <xdr:cNvPr id="10290" name="Drop Down 50" hidden="1">
              <a:extLst>
                <a:ext uri="{63B3BB69-23CF-44E3-9099-C40C66FF867C}">
                  <a14:compatExt spid="_x0000_s10290"/>
                </a:ext>
                <a:ext uri="{FF2B5EF4-FFF2-40B4-BE49-F238E27FC236}">
                  <a16:creationId xmlns:a16="http://schemas.microsoft.com/office/drawing/2014/main" id="{00000000-0008-0000-0000-00003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E046-6038-4255-8ABA-1834F188D8A8}">
  <dimension ref="B1:O24"/>
  <sheetViews>
    <sheetView showGridLines="0" zoomScaleNormal="100" workbookViewId="0">
      <selection activeCell="L23" sqref="L23:O23"/>
    </sheetView>
  </sheetViews>
  <sheetFormatPr defaultColWidth="8.85546875" defaultRowHeight="15.75" x14ac:dyDescent="0.25"/>
  <cols>
    <col min="1" max="1" width="0.7109375" style="22" customWidth="1"/>
    <col min="2" max="2" width="4" style="22" customWidth="1"/>
    <col min="3" max="3" width="24.7109375" style="22" customWidth="1"/>
    <col min="4" max="4" width="43" style="22" customWidth="1"/>
    <col min="5" max="5" width="9.42578125" style="22" customWidth="1"/>
    <col min="6" max="6" width="86.28515625" style="22" customWidth="1"/>
    <col min="7" max="7" width="14.42578125" style="23" customWidth="1"/>
    <col min="8" max="9" width="4.7109375" style="22" hidden="1" customWidth="1"/>
    <col min="10" max="10" width="8.85546875" style="22"/>
    <col min="11" max="11" width="5.5703125" style="22" customWidth="1"/>
    <col min="12" max="13" width="8.85546875" style="22"/>
    <col min="14" max="14" width="5.7109375" style="22" customWidth="1"/>
    <col min="15" max="15" width="11.5703125" style="22" customWidth="1"/>
    <col min="16" max="16384" width="8.85546875" style="22"/>
  </cols>
  <sheetData>
    <row r="1" spans="2:15" s="20" customFormat="1" ht="4.9000000000000004" customHeight="1" thickBot="1" x14ac:dyDescent="0.3">
      <c r="G1" s="21"/>
    </row>
    <row r="2" spans="2:15" s="20" customFormat="1" ht="22.9" customHeight="1" thickTop="1" thickBot="1" x14ac:dyDescent="0.3">
      <c r="B2" s="26" t="s">
        <v>101</v>
      </c>
      <c r="C2" s="26" t="s">
        <v>102</v>
      </c>
      <c r="D2" s="26" t="s">
        <v>103</v>
      </c>
      <c r="E2" s="26" t="s">
        <v>37</v>
      </c>
      <c r="F2" s="26" t="s">
        <v>103</v>
      </c>
      <c r="G2" s="27" t="s">
        <v>105</v>
      </c>
      <c r="J2" s="35" t="s">
        <v>104</v>
      </c>
      <c r="K2" s="35"/>
      <c r="L2" s="37">
        <f>G5</f>
        <v>229000</v>
      </c>
      <c r="M2" s="35"/>
      <c r="N2" s="35"/>
      <c r="O2" s="35"/>
    </row>
    <row r="3" spans="2:15" s="20" customFormat="1" ht="4.9000000000000004" customHeight="1" thickTop="1" thickBot="1" x14ac:dyDescent="0.3">
      <c r="G3" s="21"/>
    </row>
    <row r="4" spans="2:15" s="20" customFormat="1" ht="22.9" customHeight="1" thickTop="1" thickBot="1" x14ac:dyDescent="0.3">
      <c r="B4" s="1">
        <v>1</v>
      </c>
      <c r="C4" s="1" t="s">
        <v>0</v>
      </c>
      <c r="F4" s="1" t="str">
        <f>IF(H4=1, COMBINAÇÕES!B2)</f>
        <v>Tombador</v>
      </c>
      <c r="G4" s="17"/>
      <c r="H4" s="20">
        <v>1</v>
      </c>
      <c r="J4" s="38" t="s">
        <v>80</v>
      </c>
      <c r="K4" s="38"/>
      <c r="L4" s="36">
        <f>(G5+G6+G7+G8+G9+G10+G11+G12+G13+G14+G15+G16+G17+G18+G19+G20+G21+G22)*G23</f>
        <v>420832.62</v>
      </c>
      <c r="M4" s="36"/>
      <c r="N4" s="36"/>
      <c r="O4" s="36"/>
    </row>
    <row r="5" spans="2:15" s="20" customFormat="1" ht="22.9" customHeight="1" thickTop="1" thickBot="1" x14ac:dyDescent="0.3">
      <c r="B5" s="1">
        <v>2</v>
      </c>
      <c r="C5" s="1" t="s">
        <v>1</v>
      </c>
      <c r="F5" s="1" t="str">
        <f>IF(H5=1,COMBINAÇÕES!D2,IF(H5=2,COMBINAÇÕES!D3,IF(H5=3,COMBINAÇÕES!D4,IF(H5=4,COMBINAÇÕES!D5,IF(H5=5,COMBINAÇÕES!D6,COMBINAÇÕES!D7)))))</f>
        <v>12 metros</v>
      </c>
      <c r="G5" s="17">
        <f>IF(H5=1,COMBINAÇÕES!E2,IF(H5=2,COMBINAÇÕES!E3,IF(H5=3,COMBINAÇÕES!E4,IF(H5=4,COMBINAÇÕES!E5,IF(H5=5,COMBINAÇÕES!E6,COMBINAÇÕES!E7)))))</f>
        <v>229000</v>
      </c>
      <c r="H5" s="20">
        <v>2</v>
      </c>
      <c r="J5" s="24"/>
      <c r="K5" s="24"/>
      <c r="L5" s="25"/>
      <c r="M5" s="25"/>
      <c r="N5" s="25"/>
      <c r="O5" s="25"/>
    </row>
    <row r="6" spans="2:15" s="20" customFormat="1" ht="22.9" customHeight="1" thickTop="1" thickBot="1" x14ac:dyDescent="0.3">
      <c r="B6" s="1">
        <v>3</v>
      </c>
      <c r="C6" s="1" t="s">
        <v>17</v>
      </c>
      <c r="F6" s="1">
        <f>IF(H6=1,COMBINAÇÕES!AB2,IF(H6=2,COMBINAÇÕES!AB3,IF(H6=3,COMBINAÇÕES!AB4,IF(H6=4,COMBINAÇÕES!AB5,IF(H6=5,COMBINAÇÕES!AB6,COMBINAÇÕES!AB7)))))</f>
        <v>0</v>
      </c>
      <c r="G6" s="17">
        <f>IF(H6=1,COMBINAÇÕES!AC2,IF(H6=2,COMBINAÇÕES!AC3,IF(H6=3,COMBINAÇÕES!AC4,IF(H6=4,COMBINAÇÕES!AC5,IF(H6=5,COMBINAÇÕES!AC6,COMBINAÇÕES!AC7)))))</f>
        <v>0</v>
      </c>
      <c r="H6" s="20">
        <v>2</v>
      </c>
      <c r="J6" s="41" t="s">
        <v>0</v>
      </c>
      <c r="K6" s="41"/>
      <c r="L6" s="44" t="str">
        <f>IFERROR(F4,"") &amp; ", " &amp; IFERROR(F5,"") &amp; ", " &amp; IFERROR(F6,"") &amp; ", " &amp; IFERROR(F7,"") &amp; ", " &amp; IFERROR(F8,"") &amp; ", " &amp; IFERROR(F9,"") &amp; ", " &amp; IFERROR(F10,"") &amp; ", " &amp; IFERROR(F11,"") &amp; ", " &amp; IFERROR(F12,"") &amp; ", " &amp; IFERROR(F13,"") &amp; ", " &amp; IFERROR(F14,"") &amp; ", " &amp; IFERROR(F15,"") &amp; ", " &amp; IFERROR(F16,"") &amp; ", " &amp; IFERROR(F17,"") &amp; ", " &amp; IFERROR(F18,"") &amp; ", " &amp; IFERROR(F19,"") &amp; ", " &amp; IFERROR(F20,"") &amp; ", " &amp; IFERROR(F21,"") &amp; ", " &amp; IFERROR(F22,"")</f>
        <v>Tombador, 12 metros, 0, [11/12/18/21/26/30] 35, [11/12/18/21/26/30] Interno, [18]  Moldura móvel (obrigatório escolher tipo de rampa), [11/12] Um jogo de rampas fixas, [11/12/18/21/26/30] Sem calha lateral, 0, [11/12/18/21/26/30] Com trava pino, [11/12/18/21/26/30] Com calço mecânico manual, [11/12/18/21/26/30] Com pedestal do motorista, [11/12//18/21/26/30] Com enclasuramento com módulo de 2,5 m de comprimento x 2,0 m de altura, [11/12/18/21/26/30] Portão do caminhão (entrada ou saída) (fechadura e tubulação elétrica), [11/12] Manual, 105 segundos de subida, [11/12/18/21/26/30] Controle remoto sem fio, [11/12/18/21/26/30] Sem kit diálise [SEM ENCONOMIZADOR], [11/12/18/21/26/30] Sem Pili Tech, [11/12/18/21/26/30] Sem assinatura</v>
      </c>
      <c r="M6" s="44"/>
      <c r="N6" s="44"/>
      <c r="O6" s="44"/>
    </row>
    <row r="7" spans="2:15" s="20" customFormat="1" ht="22.9" customHeight="1" thickTop="1" thickBot="1" x14ac:dyDescent="0.3">
      <c r="B7" s="1">
        <v>4</v>
      </c>
      <c r="C7" s="1" t="s">
        <v>6</v>
      </c>
      <c r="F7" s="1" t="str">
        <f>IF(H7=1,COMBINAÇÕES!G2,IF(H7=2,COMBINAÇÕES!G3,COMBINAÇÕES!G4))</f>
        <v>[11/12/18/21/26/30] 35</v>
      </c>
      <c r="G7" s="17">
        <f>IF(H7=1,COMBINAÇÕES!H2,IF(H7=2,COMBINAÇÕES!H3,COMBINAÇÕES!H4))</f>
        <v>0</v>
      </c>
      <c r="H7" s="20">
        <v>1</v>
      </c>
      <c r="J7" s="42"/>
      <c r="K7" s="42"/>
      <c r="L7" s="45"/>
      <c r="M7" s="45"/>
      <c r="N7" s="45"/>
      <c r="O7" s="45"/>
    </row>
    <row r="8" spans="2:15" s="20" customFormat="1" ht="22.9" customHeight="1" thickTop="1" thickBot="1" x14ac:dyDescent="0.3">
      <c r="B8" s="1">
        <v>5</v>
      </c>
      <c r="C8" s="1" t="s">
        <v>4</v>
      </c>
      <c r="F8" s="1" t="str">
        <f>IF(H8=1,COMBINAÇÕES!P2,IF(H8=2,COMBINAÇÕES!P3,IF(H8=3,COMBINAÇÕES!P4,IF(H8=4,COMBINAÇÕES!P5,COMBINAÇÕES!P6))))</f>
        <v>[11/12/18/21/26/30] Interno</v>
      </c>
      <c r="G8" s="17">
        <f>IF(H8=1,COMBINAÇÕES!Q2,IF(H8=2,COMBINAÇÕES!Q3,IF(H8=3,COMBINAÇÕES!Q4,IF(H8=4,COMBINAÇÕES!Q5,COMBINAÇÕES!Q6))))</f>
        <v>0</v>
      </c>
      <c r="H8" s="20">
        <v>1</v>
      </c>
      <c r="J8" s="42"/>
      <c r="K8" s="42"/>
      <c r="L8" s="45"/>
      <c r="M8" s="45"/>
      <c r="N8" s="45"/>
      <c r="O8" s="45"/>
    </row>
    <row r="9" spans="2:15" s="20" customFormat="1" ht="22.9" customHeight="1" thickTop="1" thickBot="1" x14ac:dyDescent="0.3">
      <c r="B9" s="1">
        <v>6</v>
      </c>
      <c r="C9" s="1" t="s">
        <v>22</v>
      </c>
      <c r="F9" s="1" t="str">
        <f>IF(H9=1,COMBINAÇÕES!V2,IF(H8=2,COMBINAÇÕES!V3,IF(H8=3,COMBINAÇÕES!V4,IF(H8=4,COMBINAÇÕES!V5,IF(H8=5,COMBINAÇÕES!V6,IF(H8=6,COMBINAÇÕES!V7,IF(H8=7,COMBINAÇÕES!V8,IF(H8=8,COMBINAÇÕES!V9,IF(H8=9,COMBINAÇÕES!V10,COMBINAÇÕES!V11)))))))))</f>
        <v>[18]  Moldura móvel (obrigatório escolher tipo de rampa)</v>
      </c>
      <c r="G9" s="17">
        <f>IF(H9=1,COMBINAÇÕES!W2,IF(H9=2,COMBINAÇÕES!W3,IF(H9=3,COMBINAÇÕES!W4,IF(H9=4,COMBINAÇÕES!W5,IF(H9=5,COMBINAÇÕES!W6,IF(H9=6,COMBINAÇÕES!W7,IF(H9=7,COMBINAÇÕES!W8,IF(H9=8,COMBINAÇÕES!W9,IF(H9=9,COMBINAÇÕES!W10,COMBINAÇÕES!W11)))))))))</f>
        <v>12000</v>
      </c>
      <c r="H9" s="20">
        <v>2</v>
      </c>
      <c r="J9" s="42"/>
      <c r="K9" s="42"/>
      <c r="L9" s="45"/>
      <c r="M9" s="45"/>
      <c r="N9" s="45"/>
      <c r="O9" s="45"/>
    </row>
    <row r="10" spans="2:15" s="20" customFormat="1" ht="22.9" customHeight="1" thickTop="1" thickBot="1" x14ac:dyDescent="0.3">
      <c r="B10" s="1">
        <v>7</v>
      </c>
      <c r="C10" s="1" t="s">
        <v>23</v>
      </c>
      <c r="F10" s="1" t="str">
        <f>IF(H10=1,COMBINAÇÕES!S2,IF(H10=2,COMBINAÇÕES!S3,IF(H10=3,COMBINAÇÕES!S4,IF(H10=4,COMBINAÇÕES!S5,IF(H10=5,COMBINAÇÕES!S6,IF(H10=6,COMBINAÇÕES!S7,IF(H10=7,COMBINAÇÕES!S8,IF(H10=8,COMBINAÇÕES!S9,IF(H10=9,COMBINAÇÕES!S10,COMBINAÇÕES!S11)))))))))</f>
        <v>[11/12] Um jogo de rampas fixas</v>
      </c>
      <c r="G10" s="17">
        <f>IF(H10=1,COMBINAÇÕES!T2,IF(H10=2,COMBINAÇÕES!T3,IF(H10=3,COMBINAÇÕES!T4,IF(H10=4,COMBINAÇÕES!T5,IF(H10=5,COMBINAÇÕES!T6,IF(H10=6,COMBINAÇÕES!T7,IF(H10=7,COMBINAÇÕES!T8,IF(H10=8,COMBINAÇÕES!T9,IF(H10=9,COMBINAÇÕES!T10,COMBINAÇÕES!T11)))))))))</f>
        <v>5780</v>
      </c>
      <c r="H10" s="20">
        <v>2</v>
      </c>
      <c r="J10" s="42"/>
      <c r="K10" s="42"/>
      <c r="L10" s="45"/>
      <c r="M10" s="45"/>
      <c r="N10" s="45"/>
      <c r="O10" s="45"/>
    </row>
    <row r="11" spans="2:15" s="20" customFormat="1" ht="22.9" customHeight="1" thickTop="1" thickBot="1" x14ac:dyDescent="0.3">
      <c r="B11" s="1">
        <v>8</v>
      </c>
      <c r="C11" s="1" t="s">
        <v>28</v>
      </c>
      <c r="F11" s="1" t="str">
        <f>IF(H11=1,COMBINAÇÕES!AS2,IF(H11=2,COMBINAÇÕES!AS3,COMBINAÇÕES!AS4))</f>
        <v>[11/12/18/21/26/30] Sem calha lateral</v>
      </c>
      <c r="G11" s="17">
        <f>IF(H11=1,COMBINAÇÕES!AU2,IF(H11=2,COMBINAÇÕES!AU3,COMBINAÇÕES!AU4))*I11</f>
        <v>0</v>
      </c>
      <c r="H11" s="20">
        <v>1</v>
      </c>
      <c r="I11" s="20">
        <v>1</v>
      </c>
      <c r="J11" s="42"/>
      <c r="K11" s="42"/>
      <c r="L11" s="45"/>
      <c r="M11" s="45"/>
      <c r="N11" s="45"/>
      <c r="O11" s="45"/>
    </row>
    <row r="12" spans="2:15" s="20" customFormat="1" ht="22.9" customHeight="1" thickTop="1" thickBot="1" x14ac:dyDescent="0.3">
      <c r="B12" s="1">
        <v>9</v>
      </c>
      <c r="C12" s="1" t="s">
        <v>29</v>
      </c>
      <c r="F12" s="1">
        <f>IF(H12=1,COMBINAÇÕES!AW2,IF(H12=2,COMBINAÇÕES!AW3,COMBINAÇÕES!AW4))</f>
        <v>0</v>
      </c>
      <c r="G12" s="17">
        <f>IF(H12=1,COMBINAÇÕES!AY2,IF(H12=2,COMBINAÇÕES!AY3,COMBINAÇÕES!AY4))</f>
        <v>0</v>
      </c>
      <c r="H12" s="20">
        <v>2</v>
      </c>
      <c r="J12" s="42"/>
      <c r="K12" s="42"/>
      <c r="L12" s="45"/>
      <c r="M12" s="45"/>
      <c r="N12" s="45"/>
      <c r="O12" s="45"/>
    </row>
    <row r="13" spans="2:15" s="20" customFormat="1" ht="22.9" customHeight="1" thickTop="1" thickBot="1" x14ac:dyDescent="0.3">
      <c r="B13" s="1">
        <v>10</v>
      </c>
      <c r="C13" s="1" t="s">
        <v>18</v>
      </c>
      <c r="F13" s="1" t="str">
        <f>IF(H13=1,COMBINAÇÕES!Y2,COMBINAÇÕES!Y3)</f>
        <v>[11/12/18/21/26/30] Com trava pino</v>
      </c>
      <c r="G13" s="17">
        <f>IF(H13=1,COMBINAÇÕES!Z2,COMBINAÇÕES!Z3)</f>
        <v>165000</v>
      </c>
      <c r="H13" s="20">
        <v>2</v>
      </c>
      <c r="J13" s="42"/>
      <c r="K13" s="42"/>
      <c r="L13" s="45"/>
      <c r="M13" s="45"/>
      <c r="N13" s="45"/>
      <c r="O13" s="45"/>
    </row>
    <row r="14" spans="2:15" s="20" customFormat="1" ht="22.9" customHeight="1" thickTop="1" thickBot="1" x14ac:dyDescent="0.3">
      <c r="B14" s="1">
        <v>11</v>
      </c>
      <c r="C14" s="1" t="s">
        <v>26</v>
      </c>
      <c r="F14" s="1" t="str">
        <f>IF(H14=1,COMBINAÇÕES!AM2,IF(H14=2,COMBINAÇÕES!AM3,COMBINAÇÕES!AM4))</f>
        <v>[11/12/18/21/26/30] Com calço mecânico manual</v>
      </c>
      <c r="G14" s="17">
        <f>IF(H14=1,COMBINAÇÕES!AN2,IF(H14=2,COMBINAÇÕES!AN3,COMBINAÇÕES!AN4))</f>
        <v>5800</v>
      </c>
      <c r="H14" s="20">
        <v>2</v>
      </c>
      <c r="J14" s="42"/>
      <c r="K14" s="42"/>
      <c r="L14" s="45"/>
      <c r="M14" s="45"/>
      <c r="N14" s="45"/>
      <c r="O14" s="45"/>
    </row>
    <row r="15" spans="2:15" s="20" customFormat="1" ht="22.9" customHeight="1" thickTop="1" thickBot="1" x14ac:dyDescent="0.3">
      <c r="B15" s="1">
        <v>12</v>
      </c>
      <c r="C15" s="1" t="s">
        <v>27</v>
      </c>
      <c r="F15" s="1" t="str">
        <f>IF(H15=1,COMBINAÇÕES!AP2,COMBINAÇÕES!AP3)</f>
        <v>[11/12/18/21/26/30] Com pedestal do motorista</v>
      </c>
      <c r="G15" s="17">
        <f>IF(H15=1,COMBINAÇÕES!AQ2,COMBINAÇÕES!AQ3)</f>
        <v>2800</v>
      </c>
      <c r="H15" s="20">
        <v>2</v>
      </c>
      <c r="J15" s="42"/>
      <c r="K15" s="42"/>
      <c r="L15" s="45"/>
      <c r="M15" s="45"/>
      <c r="N15" s="45"/>
      <c r="O15" s="45"/>
    </row>
    <row r="16" spans="2:15" s="20" customFormat="1" ht="22.9" customHeight="1" thickTop="1" thickBot="1" x14ac:dyDescent="0.3">
      <c r="B16" s="1">
        <v>13</v>
      </c>
      <c r="C16" s="1" t="s">
        <v>24</v>
      </c>
      <c r="F16" s="1" t="str">
        <f>IF(H16=1,COMBINAÇÕES!AE2,IF(H16=2,COMBINAÇÕES!AE3,IF(H16=3,COMBINAÇÕES!AE4,COMBINAÇÕES!AE5)))</f>
        <v>[11/12//18/21/26/30] Com enclasuramento com módulo de 2,5 m de comprimento x 2,0 m de altura</v>
      </c>
      <c r="G16" s="17">
        <f>IF(H16=1,COMBINAÇÕES!AG2,IF(H16=2,COMBINAÇÕES!AG3,IF(H16=3,COMBINAÇÕES!AG4,COMBINAÇÕES!AG5)))</f>
        <v>1250</v>
      </c>
      <c r="H16" s="20">
        <v>2</v>
      </c>
      <c r="J16" s="42"/>
      <c r="K16" s="42"/>
      <c r="L16" s="45"/>
      <c r="M16" s="45"/>
      <c r="N16" s="45"/>
      <c r="O16" s="45"/>
    </row>
    <row r="17" spans="2:15" s="20" customFormat="1" ht="22.9" customHeight="1" thickTop="1" thickBot="1" x14ac:dyDescent="0.3">
      <c r="B17" s="1">
        <v>14</v>
      </c>
      <c r="C17" s="1" t="s">
        <v>25</v>
      </c>
      <c r="F17" s="1" t="str">
        <f>IF(H17=1,COMBINAÇÕES!AI2,IF(H17=2,COMBINAÇÕES!AI3,IF(H7=3,COMBINAÇÕES!AI4,COMBINAÇÕES!AI5)))</f>
        <v>[11/12/18/21/26/30] Portão do caminhão (entrada ou saída) (fechadura e tubulação elétrica)</v>
      </c>
      <c r="G17" s="17">
        <f>IF(H17=1,COMBINAÇÕES!AK2,IF(H17=2,COMBINAÇÕES!AK3,IF(H17=3,COMBINAÇÕES!AK4,COMBINAÇÕES!AK5)))*I17</f>
        <v>5800</v>
      </c>
      <c r="H17" s="20">
        <v>4</v>
      </c>
      <c r="I17" s="20">
        <v>1</v>
      </c>
      <c r="J17" s="42"/>
      <c r="K17" s="42"/>
      <c r="L17" s="45"/>
      <c r="M17" s="45"/>
      <c r="N17" s="45"/>
      <c r="O17" s="45"/>
    </row>
    <row r="18" spans="2:15" s="20" customFormat="1" ht="22.9" customHeight="1" thickTop="1" thickBot="1" x14ac:dyDescent="0.3">
      <c r="B18" s="1">
        <v>15</v>
      </c>
      <c r="C18" s="1" t="s">
        <v>2</v>
      </c>
      <c r="F18" s="1" t="str">
        <f>IF(H18=1,COMBINAÇÕES!J2,IF(H18=2,COMBINAÇÕES!J3,IF(H18=3,COMBINAÇÕES!J4,IF(H18=4,COMBINAÇÕES!J5,IF(H18=5,COMBINAÇÕES!J6,IF(H18=6,COMBINAÇÕES!J7,IF(H18=7,COMBINAÇÕES!J8,IF(H18=8,COMBINAÇÕES!J9,IF(H18=9,COMBINAÇÕES!J10,IF(H18=10,COMBINAÇÕES!J11,IF(H18=11,COMBINAÇÕES!J12,IF(H18=12,COMBINAÇÕES!J13,IF(H18=13,COMBINAÇÕES!J14,COMBINAÇÕES!J15)))))))))))))</f>
        <v>[11/12] Manual, 105 segundos de subida</v>
      </c>
      <c r="G18" s="17">
        <f>IF(H18=1,COMBINAÇÕES!K2,IF(H18=2,COMBINAÇÕES!K3,IF(H18=3,COMBINAÇÕES!K4,IF(H18=4,COMBINAÇÕES!K5,IF(H18=5,COMBINAÇÕES!K6,IF(H18=6,COMBINAÇÕES!K7,IF(H18=7,COMBINAÇÕES!K8,IF(H18=8,COMBINAÇÕES!K9,IF(H18=9,COMBINAÇÕES!K10,IF(H18=10,COMBINAÇÕES!K11,IF(H18=11,COMBINAÇÕES!K12,IF(H18=12,COMBINAÇÕES!K13,IF(H18=13,COMBINAÇÕES!K14,COMBINAÇÕES!K15)))))))))))))</f>
        <v>34000</v>
      </c>
      <c r="H18" s="20">
        <v>3</v>
      </c>
      <c r="J18" s="42"/>
      <c r="K18" s="42"/>
      <c r="L18" s="45"/>
      <c r="M18" s="45"/>
      <c r="N18" s="45"/>
      <c r="O18" s="45"/>
    </row>
    <row r="19" spans="2:15" s="20" customFormat="1" ht="22.9" customHeight="1" thickTop="1" thickBot="1" x14ac:dyDescent="0.3">
      <c r="B19" s="1">
        <v>16</v>
      </c>
      <c r="C19" s="1" t="s">
        <v>3</v>
      </c>
      <c r="F19" s="1" t="str">
        <f>IF(H19=1,COMBINAÇÕES!M2,IF(H19=2,COMBINAÇÕES!M3,COMBINAÇÕES!M4))</f>
        <v>[11/12/18/21/26/30] Controle remoto sem fio</v>
      </c>
      <c r="G19" s="17">
        <f>IF(H19=1,COMBINAÇÕES!N2,IF(H19=2,COMBINAÇÕES!N3,COMBINAÇÕES!N4))</f>
        <v>9300</v>
      </c>
      <c r="H19" s="20">
        <v>2</v>
      </c>
      <c r="J19" s="42"/>
      <c r="K19" s="42"/>
      <c r="L19" s="45"/>
      <c r="M19" s="45"/>
      <c r="N19" s="45"/>
      <c r="O19" s="45"/>
    </row>
    <row r="20" spans="2:15" s="20" customFormat="1" ht="22.9" customHeight="1" thickTop="1" thickBot="1" x14ac:dyDescent="0.3">
      <c r="B20" s="1">
        <v>17</v>
      </c>
      <c r="C20" s="1" t="s">
        <v>30</v>
      </c>
      <c r="F20" s="1" t="str">
        <f>IF(H20=1,COMBINAÇÕES!BA2,COMBINAÇÕES!BA3)</f>
        <v>[11/12/18/21/26/30] Sem kit diálise [SEM ENCONOMIZADOR]</v>
      </c>
      <c r="G20" s="17">
        <f>IF(H20=1,COMBINAÇÕES!BB2,COMBINAÇÕES!BB3)</f>
        <v>0</v>
      </c>
      <c r="H20" s="20">
        <v>1</v>
      </c>
      <c r="J20" s="43"/>
      <c r="K20" s="43"/>
      <c r="L20" s="46"/>
      <c r="M20" s="46"/>
      <c r="N20" s="46"/>
      <c r="O20" s="46"/>
    </row>
    <row r="21" spans="2:15" ht="22.9" customHeight="1" thickTop="1" thickBot="1" x14ac:dyDescent="0.3">
      <c r="B21" s="1">
        <v>18</v>
      </c>
      <c r="C21" s="1" t="s">
        <v>73</v>
      </c>
      <c r="D21" s="20"/>
      <c r="E21" s="20"/>
      <c r="F21" s="1" t="str">
        <f>IF(H21=1,COMBINAÇÕES!BD2,COMBINAÇÕES!BD3)</f>
        <v>[11/12/18/21/26/30] Sem Pili Tech</v>
      </c>
      <c r="G21" s="17">
        <f>IF(H21=1,COMBINAÇÕES!BE2,COMBINAÇÕES!BE3)</f>
        <v>0</v>
      </c>
      <c r="H21" s="20">
        <v>1</v>
      </c>
      <c r="I21" s="20"/>
    </row>
    <row r="22" spans="2:15" ht="22.9" customHeight="1" thickTop="1" thickBot="1" x14ac:dyDescent="0.3">
      <c r="B22" s="1">
        <v>19</v>
      </c>
      <c r="C22" s="1" t="s">
        <v>63</v>
      </c>
      <c r="D22" s="20"/>
      <c r="E22" s="20"/>
      <c r="F22" s="1" t="str">
        <f>IF(H22=1,COMBINAÇÕES!BG2,COMBINAÇÕES!BG3)</f>
        <v>[11/12/18/21/26/30] Sem assinatura</v>
      </c>
      <c r="G22" s="17">
        <f>IF(H22=1,COMBINAÇÕES!BI2,COMBINAÇÕES!BI3)*I22</f>
        <v>0</v>
      </c>
      <c r="H22" s="20">
        <v>1</v>
      </c>
      <c r="I22" s="20">
        <v>1</v>
      </c>
      <c r="J22" s="38" t="s">
        <v>72</v>
      </c>
      <c r="K22" s="38"/>
      <c r="L22" s="39">
        <f>IF(H23=1,COMBINAÇÕES!BM2,IF(H23=2,COMBINAÇÕES!BM3,COMBINAÇÕES!BM4))</f>
        <v>4.8000000000000001E-2</v>
      </c>
      <c r="M22" s="40"/>
      <c r="N22" s="40"/>
      <c r="O22" s="40"/>
    </row>
    <row r="23" spans="2:15" ht="22.9" customHeight="1" thickTop="1" thickBot="1" x14ac:dyDescent="0.3">
      <c r="B23" s="1">
        <v>20</v>
      </c>
      <c r="C23" s="1" t="s">
        <v>66</v>
      </c>
      <c r="D23" s="20"/>
      <c r="E23" s="20"/>
      <c r="F23" s="18">
        <f>IF(H23=1,COMBINAÇÕES!BK2,IF(H23=2,COMBINAÇÕES!BK3,COMBINAÇÕES!BK4))</f>
        <v>0.106</v>
      </c>
      <c r="G23" s="19">
        <f>IF(H23=1,COMBINAÇÕES!BL2,IF(H23=2,COMBINAÇÕES!BL3,COMBINAÇÕES!BL4))</f>
        <v>0.89400000000000002</v>
      </c>
      <c r="H23" s="20">
        <v>3</v>
      </c>
      <c r="I23" s="20"/>
      <c r="J23" s="38" t="s">
        <v>72</v>
      </c>
      <c r="K23" s="38"/>
      <c r="L23" s="36">
        <f>L22*L4</f>
        <v>20199.965759999999</v>
      </c>
      <c r="M23" s="36"/>
      <c r="N23" s="36"/>
      <c r="O23" s="36"/>
    </row>
    <row r="24" spans="2:15" ht="16.5" thickTop="1" x14ac:dyDescent="0.25"/>
  </sheetData>
  <mergeCells count="10">
    <mergeCell ref="J23:K23"/>
    <mergeCell ref="L23:O23"/>
    <mergeCell ref="J6:K20"/>
    <mergeCell ref="L6:O20"/>
    <mergeCell ref="J4:K4"/>
    <mergeCell ref="J2:K2"/>
    <mergeCell ref="L4:O4"/>
    <mergeCell ref="L2:O2"/>
    <mergeCell ref="J22:K22"/>
    <mergeCell ref="L22:O22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Drop Down 1">
              <controlPr defaultSize="0" autoLine="0" autoPict="0">
                <anchor moveWithCells="1">
                  <from>
                    <xdr:col>3</xdr:col>
                    <xdr:colOff>209550</xdr:colOff>
                    <xdr:row>3</xdr:row>
                    <xdr:rowOff>47625</xdr:rowOff>
                  </from>
                  <to>
                    <xdr:col>3</xdr:col>
                    <xdr:colOff>2886075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Drop Down 2">
              <controlPr defaultSize="0" autoLine="0" autoPict="0">
                <anchor moveWithCells="1">
                  <from>
                    <xdr:col>3</xdr:col>
                    <xdr:colOff>209550</xdr:colOff>
                    <xdr:row>4</xdr:row>
                    <xdr:rowOff>47625</xdr:rowOff>
                  </from>
                  <to>
                    <xdr:col>3</xdr:col>
                    <xdr:colOff>2886075</xdr:colOff>
                    <xdr:row>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Drop Down 3">
              <controlPr defaultSize="0" autoLine="0" autoPict="0">
                <anchor moveWithCells="1">
                  <from>
                    <xdr:col>3</xdr:col>
                    <xdr:colOff>209550</xdr:colOff>
                    <xdr:row>6</xdr:row>
                    <xdr:rowOff>47625</xdr:rowOff>
                  </from>
                  <to>
                    <xdr:col>3</xdr:col>
                    <xdr:colOff>2886075</xdr:colOff>
                    <xdr:row>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Drop Down 4">
              <controlPr defaultSize="0" autoLine="0" autoPict="0">
                <anchor moveWithCells="1">
                  <from>
                    <xdr:col>3</xdr:col>
                    <xdr:colOff>209550</xdr:colOff>
                    <xdr:row>17</xdr:row>
                    <xdr:rowOff>47625</xdr:rowOff>
                  </from>
                  <to>
                    <xdr:col>3</xdr:col>
                    <xdr:colOff>2886075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Drop Down 5">
              <controlPr defaultSize="0" autoLine="0" autoPict="0">
                <anchor moveWithCells="1">
                  <from>
                    <xdr:col>3</xdr:col>
                    <xdr:colOff>209550</xdr:colOff>
                    <xdr:row>18</xdr:row>
                    <xdr:rowOff>47625</xdr:rowOff>
                  </from>
                  <to>
                    <xdr:col>3</xdr:col>
                    <xdr:colOff>2886075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8" name="Drop Down 20">
              <controlPr defaultSize="0" autoLine="0" autoPict="0">
                <anchor moveWithCells="1">
                  <from>
                    <xdr:col>3</xdr:col>
                    <xdr:colOff>209550</xdr:colOff>
                    <xdr:row>20</xdr:row>
                    <xdr:rowOff>47625</xdr:rowOff>
                  </from>
                  <to>
                    <xdr:col>3</xdr:col>
                    <xdr:colOff>2886075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9" name="Drop Down 21">
              <controlPr defaultSize="0" autoLine="0" autoPict="0">
                <anchor moveWithCells="1">
                  <from>
                    <xdr:col>3</xdr:col>
                    <xdr:colOff>209550</xdr:colOff>
                    <xdr:row>22</xdr:row>
                    <xdr:rowOff>47625</xdr:rowOff>
                  </from>
                  <to>
                    <xdr:col>3</xdr:col>
                    <xdr:colOff>2886075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10" name="Drop Down 22">
              <controlPr defaultSize="0" autoLine="0" autoPict="0">
                <anchor moveWithCells="1">
                  <from>
                    <xdr:col>3</xdr:col>
                    <xdr:colOff>209550</xdr:colOff>
                    <xdr:row>21</xdr:row>
                    <xdr:rowOff>47625</xdr:rowOff>
                  </from>
                  <to>
                    <xdr:col>3</xdr:col>
                    <xdr:colOff>2886075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11" name="Drop Down 23">
              <controlPr defaultSize="0" autoLine="0" autoPict="0">
                <anchor moveWithCells="1">
                  <from>
                    <xdr:col>3</xdr:col>
                    <xdr:colOff>209550</xdr:colOff>
                    <xdr:row>5</xdr:row>
                    <xdr:rowOff>47625</xdr:rowOff>
                  </from>
                  <to>
                    <xdr:col>3</xdr:col>
                    <xdr:colOff>2886075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12" name="Drop Down 24">
              <controlPr defaultSize="0" autoLine="0" autoPict="0">
                <anchor moveWithCells="1">
                  <from>
                    <xdr:col>3</xdr:col>
                    <xdr:colOff>209550</xdr:colOff>
                    <xdr:row>7</xdr:row>
                    <xdr:rowOff>47625</xdr:rowOff>
                  </from>
                  <to>
                    <xdr:col>3</xdr:col>
                    <xdr:colOff>2886075</xdr:colOff>
                    <xdr:row>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13" name="Drop Down 25">
              <controlPr defaultSize="0" autoLine="0" autoPict="0">
                <anchor moveWithCells="1">
                  <from>
                    <xdr:col>3</xdr:col>
                    <xdr:colOff>209550</xdr:colOff>
                    <xdr:row>19</xdr:row>
                    <xdr:rowOff>47625</xdr:rowOff>
                  </from>
                  <to>
                    <xdr:col>3</xdr:col>
                    <xdr:colOff>2886075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14" name="Drop Down 26">
              <controlPr defaultSize="0" autoLine="0" autoPict="0">
                <anchor moveWithCells="1">
                  <from>
                    <xdr:col>3</xdr:col>
                    <xdr:colOff>209550</xdr:colOff>
                    <xdr:row>8</xdr:row>
                    <xdr:rowOff>47625</xdr:rowOff>
                  </from>
                  <to>
                    <xdr:col>3</xdr:col>
                    <xdr:colOff>2886075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15" name="Drop Down 28">
              <controlPr defaultSize="0" autoLine="0" autoPict="0">
                <anchor moveWithCells="1">
                  <from>
                    <xdr:col>3</xdr:col>
                    <xdr:colOff>209550</xdr:colOff>
                    <xdr:row>9</xdr:row>
                    <xdr:rowOff>47625</xdr:rowOff>
                  </from>
                  <to>
                    <xdr:col>3</xdr:col>
                    <xdr:colOff>2886075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16" name="Drop Down 29">
              <controlPr defaultSize="0" autoLine="0" autoPict="0">
                <anchor moveWithCells="1">
                  <from>
                    <xdr:col>3</xdr:col>
                    <xdr:colOff>209550</xdr:colOff>
                    <xdr:row>10</xdr:row>
                    <xdr:rowOff>47625</xdr:rowOff>
                  </from>
                  <to>
                    <xdr:col>3</xdr:col>
                    <xdr:colOff>2886075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17" name="Drop Down 31">
              <controlPr defaultSize="0" autoLine="0" autoPict="0">
                <anchor moveWithCells="1">
                  <from>
                    <xdr:col>3</xdr:col>
                    <xdr:colOff>209550</xdr:colOff>
                    <xdr:row>11</xdr:row>
                    <xdr:rowOff>47625</xdr:rowOff>
                  </from>
                  <to>
                    <xdr:col>3</xdr:col>
                    <xdr:colOff>2886075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18" name="Drop Down 35">
              <controlPr defaultSize="0" autoLine="0" autoPict="0">
                <anchor moveWithCells="1">
                  <from>
                    <xdr:col>3</xdr:col>
                    <xdr:colOff>209550</xdr:colOff>
                    <xdr:row>12</xdr:row>
                    <xdr:rowOff>47625</xdr:rowOff>
                  </from>
                  <to>
                    <xdr:col>3</xdr:col>
                    <xdr:colOff>2886075</xdr:colOff>
                    <xdr:row>12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19" name="Drop Down 36">
              <controlPr defaultSize="0" autoLine="0" autoPict="0">
                <anchor moveWithCells="1">
                  <from>
                    <xdr:col>3</xdr:col>
                    <xdr:colOff>209550</xdr:colOff>
                    <xdr:row>13</xdr:row>
                    <xdr:rowOff>47625</xdr:rowOff>
                  </from>
                  <to>
                    <xdr:col>3</xdr:col>
                    <xdr:colOff>2886075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20" name="Drop Down 37">
              <controlPr defaultSize="0" autoLine="0" autoPict="0">
                <anchor moveWithCells="1">
                  <from>
                    <xdr:col>3</xdr:col>
                    <xdr:colOff>209550</xdr:colOff>
                    <xdr:row>14</xdr:row>
                    <xdr:rowOff>47625</xdr:rowOff>
                  </from>
                  <to>
                    <xdr:col>3</xdr:col>
                    <xdr:colOff>2886075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21" name="Drop Down 43">
              <controlPr defaultSize="0" autoLine="0" autoPict="0">
                <anchor moveWithCells="1">
                  <from>
                    <xdr:col>3</xdr:col>
                    <xdr:colOff>209550</xdr:colOff>
                    <xdr:row>15</xdr:row>
                    <xdr:rowOff>47625</xdr:rowOff>
                  </from>
                  <to>
                    <xdr:col>3</xdr:col>
                    <xdr:colOff>2886075</xdr:colOff>
                    <xdr:row>15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22" name="Drop Down 44">
              <controlPr defaultSize="0" autoLine="0" autoPict="0">
                <anchor moveWithCells="1">
                  <from>
                    <xdr:col>3</xdr:col>
                    <xdr:colOff>209550</xdr:colOff>
                    <xdr:row>16</xdr:row>
                    <xdr:rowOff>47625</xdr:rowOff>
                  </from>
                  <to>
                    <xdr:col>3</xdr:col>
                    <xdr:colOff>2886075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23" name="Drop Down 48">
              <controlPr defaultSize="0" autoLine="0" autoPict="0">
                <anchor moveWithCells="1">
                  <from>
                    <xdr:col>4</xdr:col>
                    <xdr:colOff>85725</xdr:colOff>
                    <xdr:row>10</xdr:row>
                    <xdr:rowOff>47625</xdr:rowOff>
                  </from>
                  <to>
                    <xdr:col>4</xdr:col>
                    <xdr:colOff>590550</xdr:colOff>
                    <xdr:row>10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24" name="Drop Down 49">
              <controlPr defaultSize="0" autoLine="0" autoPict="0">
                <anchor moveWithCells="1">
                  <from>
                    <xdr:col>4</xdr:col>
                    <xdr:colOff>85725</xdr:colOff>
                    <xdr:row>21</xdr:row>
                    <xdr:rowOff>47625</xdr:rowOff>
                  </from>
                  <to>
                    <xdr:col>4</xdr:col>
                    <xdr:colOff>590550</xdr:colOff>
                    <xdr:row>21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25" name="Drop Down 50">
              <controlPr defaultSize="0" autoLine="0" autoPict="0">
                <anchor moveWithCells="1">
                  <from>
                    <xdr:col>4</xdr:col>
                    <xdr:colOff>85725</xdr:colOff>
                    <xdr:row>16</xdr:row>
                    <xdr:rowOff>47625</xdr:rowOff>
                  </from>
                  <to>
                    <xdr:col>4</xdr:col>
                    <xdr:colOff>590550</xdr:colOff>
                    <xdr:row>16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5E94-A13B-4A57-8C44-E8AAF888CBF4}">
  <dimension ref="A1:BN109"/>
  <sheetViews>
    <sheetView tabSelected="1" zoomScale="120" zoomScaleNormal="120" workbookViewId="0">
      <pane xSplit="4" topLeftCell="BG1" activePane="topRight" state="frozen"/>
      <selection pane="topRight" activeCell="J3" sqref="J3"/>
    </sheetView>
  </sheetViews>
  <sheetFormatPr defaultColWidth="8.85546875" defaultRowHeight="15" x14ac:dyDescent="0.25"/>
  <cols>
    <col min="1" max="1" width="10.28515625" style="2" bestFit="1" customWidth="1"/>
    <col min="2" max="2" width="13.7109375" style="2" bestFit="1" customWidth="1"/>
    <col min="3" max="3" width="10.28515625" style="2" bestFit="1" customWidth="1"/>
    <col min="4" max="4" width="14" style="2" bestFit="1" customWidth="1"/>
    <col min="5" max="5" width="13.42578125" style="3" bestFit="1" customWidth="1"/>
    <col min="6" max="6" width="10.28515625" style="2" bestFit="1" customWidth="1"/>
    <col min="7" max="7" width="20" style="2" bestFit="1" customWidth="1"/>
    <col min="8" max="8" width="12.42578125" style="3" bestFit="1" customWidth="1"/>
    <col min="9" max="9" width="10.28515625" style="2" bestFit="1" customWidth="1"/>
    <col min="10" max="10" width="70.85546875" style="2" customWidth="1"/>
    <col min="11" max="11" width="13.42578125" style="3" bestFit="1" customWidth="1"/>
    <col min="12" max="12" width="10.28515625" style="30" bestFit="1" customWidth="1"/>
    <col min="13" max="13" width="38.28515625" style="30" bestFit="1" customWidth="1"/>
    <col min="14" max="14" width="11.28515625" style="32" bestFit="1" customWidth="1"/>
    <col min="15" max="15" width="10.28515625" style="2" bestFit="1" customWidth="1"/>
    <col min="16" max="16" width="26.85546875" style="2" bestFit="1" customWidth="1"/>
    <col min="17" max="17" width="13.42578125" style="3" bestFit="1" customWidth="1"/>
    <col min="18" max="18" width="10.28515625" style="2" bestFit="1" customWidth="1"/>
    <col min="19" max="19" width="41" style="2" bestFit="1" customWidth="1"/>
    <col min="20" max="20" width="12.42578125" style="3" bestFit="1" customWidth="1"/>
    <col min="21" max="21" width="10.28515625" style="2" bestFit="1" customWidth="1"/>
    <col min="22" max="22" width="55.42578125" style="2" bestFit="1" customWidth="1"/>
    <col min="23" max="23" width="13.42578125" style="3" bestFit="1" customWidth="1"/>
    <col min="24" max="24" width="10.28515625" style="2" bestFit="1" customWidth="1"/>
    <col min="25" max="25" width="30.42578125" style="2" bestFit="1" customWidth="1"/>
    <col min="26" max="26" width="13.42578125" style="3" bestFit="1" customWidth="1"/>
    <col min="27" max="27" width="11.28515625" style="2" bestFit="1" customWidth="1"/>
    <col min="28" max="28" width="23.140625" style="2" bestFit="1" customWidth="1"/>
    <col min="29" max="29" width="13.140625" style="3" bestFit="1" customWidth="1"/>
    <col min="30" max="30" width="11.28515625" style="3" bestFit="1" customWidth="1"/>
    <col min="31" max="31" width="83" style="2" bestFit="1" customWidth="1"/>
    <col min="32" max="32" width="11.28515625" style="2" customWidth="1"/>
    <col min="33" max="33" width="12" style="2" bestFit="1" customWidth="1"/>
    <col min="34" max="34" width="11.28515625" style="2" bestFit="1" customWidth="1"/>
    <col min="35" max="35" width="77.7109375" style="2" bestFit="1" customWidth="1"/>
    <col min="36" max="36" width="7.7109375" style="2" bestFit="1" customWidth="1"/>
    <col min="37" max="38" width="11.28515625" style="3" bestFit="1" customWidth="1"/>
    <col min="39" max="39" width="44.28515625" style="2" bestFit="1" customWidth="1"/>
    <col min="40" max="40" width="11.28515625" style="3" bestFit="1" customWidth="1"/>
    <col min="41" max="41" width="11.28515625" style="3" customWidth="1"/>
    <col min="42" max="42" width="40.5703125" style="2" bestFit="1" customWidth="1"/>
    <col min="43" max="43" width="11.28515625" style="3" bestFit="1" customWidth="1"/>
    <col min="44" max="44" width="11.28515625" style="3" customWidth="1"/>
    <col min="45" max="45" width="67.85546875" style="2" bestFit="1" customWidth="1"/>
    <col min="46" max="46" width="7.7109375" style="2" bestFit="1" customWidth="1"/>
    <col min="47" max="47" width="11.7109375" style="3" bestFit="1" customWidth="1"/>
    <col min="48" max="48" width="11.28515625" style="3" customWidth="1"/>
    <col min="49" max="49" width="33.7109375" style="2" bestFit="1" customWidth="1"/>
    <col min="50" max="50" width="12.7109375" style="2" customWidth="1"/>
    <col min="51" max="51" width="12.42578125" style="3" bestFit="1" customWidth="1"/>
    <col min="52" max="52" width="11.5703125" style="3" customWidth="1"/>
    <col min="53" max="53" width="51.28515625" style="2" bestFit="1" customWidth="1"/>
    <col min="54" max="54" width="11.28515625" style="3" bestFit="1" customWidth="1"/>
    <col min="55" max="55" width="11.28515625" style="3" customWidth="1"/>
    <col min="56" max="56" width="29" style="2" bestFit="1" customWidth="1"/>
    <col min="57" max="57" width="11.28515625" style="3" bestFit="1" customWidth="1"/>
    <col min="58" max="58" width="11.28515625" style="2" bestFit="1" customWidth="1"/>
    <col min="59" max="59" width="31" style="2" bestFit="1" customWidth="1"/>
    <col min="60" max="60" width="8.85546875" style="2"/>
    <col min="61" max="61" width="10.5703125" style="2" bestFit="1" customWidth="1"/>
    <col min="62" max="62" width="8.85546875" style="2"/>
    <col min="63" max="63" width="15.5703125" style="2" bestFit="1" customWidth="1"/>
    <col min="64" max="64" width="8.85546875" style="11"/>
    <col min="65" max="65" width="9.85546875" style="2" bestFit="1" customWidth="1"/>
    <col min="66" max="66" width="12.140625" style="2" bestFit="1" customWidth="1"/>
    <col min="67" max="16384" width="8.85546875" style="2"/>
  </cols>
  <sheetData>
    <row r="1" spans="1:66" s="9" customFormat="1" ht="25.15" customHeight="1" x14ac:dyDescent="0.25">
      <c r="A1" s="6" t="s">
        <v>8</v>
      </c>
      <c r="B1" s="6" t="s">
        <v>0</v>
      </c>
      <c r="C1" s="6" t="s">
        <v>9</v>
      </c>
      <c r="D1" s="6" t="s">
        <v>1</v>
      </c>
      <c r="E1" s="8" t="s">
        <v>7</v>
      </c>
      <c r="F1" s="6" t="s">
        <v>10</v>
      </c>
      <c r="G1" s="6" t="s">
        <v>6</v>
      </c>
      <c r="H1" s="8" t="s">
        <v>7</v>
      </c>
      <c r="I1" s="6" t="s">
        <v>11</v>
      </c>
      <c r="J1" s="6" t="s">
        <v>2</v>
      </c>
      <c r="K1" s="8" t="s">
        <v>7</v>
      </c>
      <c r="L1" s="29" t="s">
        <v>12</v>
      </c>
      <c r="M1" s="29" t="s">
        <v>3</v>
      </c>
      <c r="N1" s="31" t="s">
        <v>7</v>
      </c>
      <c r="O1" s="6" t="s">
        <v>13</v>
      </c>
      <c r="P1" s="6" t="s">
        <v>4</v>
      </c>
      <c r="Q1" s="8" t="s">
        <v>7</v>
      </c>
      <c r="R1" s="6" t="s">
        <v>14</v>
      </c>
      <c r="S1" s="6" t="s">
        <v>23</v>
      </c>
      <c r="T1" s="8" t="s">
        <v>7</v>
      </c>
      <c r="U1" s="6" t="s">
        <v>15</v>
      </c>
      <c r="V1" s="6" t="s">
        <v>22</v>
      </c>
      <c r="W1" s="8" t="s">
        <v>7</v>
      </c>
      <c r="X1" s="6" t="s">
        <v>16</v>
      </c>
      <c r="Y1" s="6" t="s">
        <v>18</v>
      </c>
      <c r="Z1" s="8" t="s">
        <v>7</v>
      </c>
      <c r="AA1" s="6" t="s">
        <v>20</v>
      </c>
      <c r="AB1" s="6" t="s">
        <v>17</v>
      </c>
      <c r="AC1" s="8" t="s">
        <v>7</v>
      </c>
      <c r="AD1" s="10" t="s">
        <v>21</v>
      </c>
      <c r="AE1" s="6" t="s">
        <v>24</v>
      </c>
      <c r="AF1" s="7" t="s">
        <v>125</v>
      </c>
      <c r="AG1" s="7" t="s">
        <v>7</v>
      </c>
      <c r="AH1" s="10" t="s">
        <v>31</v>
      </c>
      <c r="AI1" s="6" t="s">
        <v>25</v>
      </c>
      <c r="AJ1" s="7" t="s">
        <v>37</v>
      </c>
      <c r="AK1" s="8" t="s">
        <v>7</v>
      </c>
      <c r="AL1" s="10" t="s">
        <v>32</v>
      </c>
      <c r="AM1" s="6" t="s">
        <v>26</v>
      </c>
      <c r="AN1" s="8" t="s">
        <v>7</v>
      </c>
      <c r="AO1" s="10" t="s">
        <v>33</v>
      </c>
      <c r="AP1" s="6" t="s">
        <v>126</v>
      </c>
      <c r="AQ1" s="8" t="s">
        <v>7</v>
      </c>
      <c r="AR1" s="10" t="s">
        <v>34</v>
      </c>
      <c r="AS1" s="6" t="s">
        <v>28</v>
      </c>
      <c r="AT1" s="7" t="s">
        <v>37</v>
      </c>
      <c r="AU1" s="8" t="s">
        <v>7</v>
      </c>
      <c r="AV1" s="10" t="s">
        <v>35</v>
      </c>
      <c r="AW1" s="6" t="s">
        <v>29</v>
      </c>
      <c r="AX1" s="33" t="s">
        <v>37</v>
      </c>
      <c r="AY1" s="8" t="s">
        <v>7</v>
      </c>
      <c r="AZ1" s="10" t="s">
        <v>36</v>
      </c>
      <c r="BA1" s="6" t="s">
        <v>30</v>
      </c>
      <c r="BB1" s="8" t="s">
        <v>7</v>
      </c>
      <c r="BC1" s="10" t="s">
        <v>38</v>
      </c>
      <c r="BD1" s="6" t="s">
        <v>63</v>
      </c>
      <c r="BE1" s="8" t="s">
        <v>7</v>
      </c>
      <c r="BF1" s="10" t="s">
        <v>62</v>
      </c>
      <c r="BG1" s="6" t="s">
        <v>64</v>
      </c>
      <c r="BH1" s="7" t="s">
        <v>37</v>
      </c>
      <c r="BI1" s="8" t="s">
        <v>7</v>
      </c>
      <c r="BJ1" s="10" t="s">
        <v>65</v>
      </c>
      <c r="BK1" s="6" t="s">
        <v>66</v>
      </c>
      <c r="BL1" s="13" t="s">
        <v>19</v>
      </c>
      <c r="BM1" s="7" t="s">
        <v>72</v>
      </c>
      <c r="BN1" s="7" t="s">
        <v>81</v>
      </c>
    </row>
    <row r="2" spans="1:66" ht="25.15" customHeight="1" x14ac:dyDescent="0.25">
      <c r="A2" s="2">
        <v>1</v>
      </c>
      <c r="B2" s="2" t="s">
        <v>5</v>
      </c>
      <c r="C2" s="2">
        <v>1</v>
      </c>
      <c r="D2" s="2" t="s">
        <v>74</v>
      </c>
      <c r="E2" s="3">
        <v>226000</v>
      </c>
      <c r="F2" s="2">
        <v>1</v>
      </c>
      <c r="G2" s="2" t="s">
        <v>82</v>
      </c>
      <c r="H2" s="3">
        <v>0</v>
      </c>
      <c r="I2" s="2">
        <v>1</v>
      </c>
      <c r="J2" s="28"/>
      <c r="L2" s="30">
        <v>1</v>
      </c>
      <c r="M2" s="30" t="s">
        <v>83</v>
      </c>
      <c r="N2" s="32">
        <v>0</v>
      </c>
      <c r="O2" s="2">
        <v>1</v>
      </c>
      <c r="P2" s="2" t="s">
        <v>86</v>
      </c>
      <c r="Q2" s="3">
        <v>0</v>
      </c>
      <c r="R2" s="2">
        <v>1</v>
      </c>
      <c r="S2" s="2" t="s">
        <v>87</v>
      </c>
      <c r="T2" s="3">
        <v>0</v>
      </c>
      <c r="U2" s="2">
        <v>1</v>
      </c>
      <c r="V2" s="2" t="s">
        <v>49</v>
      </c>
      <c r="W2" s="3">
        <v>0</v>
      </c>
      <c r="X2" s="2">
        <v>1</v>
      </c>
      <c r="Y2" s="2" t="s">
        <v>88</v>
      </c>
      <c r="Z2" s="3">
        <v>0</v>
      </c>
      <c r="AA2" s="2">
        <v>1</v>
      </c>
      <c r="AB2" s="2" t="s">
        <v>57</v>
      </c>
      <c r="AC2" s="3">
        <v>0</v>
      </c>
      <c r="AD2" s="12">
        <v>1</v>
      </c>
      <c r="AE2" s="2" t="s">
        <v>89</v>
      </c>
      <c r="AG2" s="3">
        <v>0</v>
      </c>
      <c r="AH2" s="2">
        <v>1</v>
      </c>
      <c r="AI2" s="2" t="s">
        <v>106</v>
      </c>
      <c r="AJ2" s="2">
        <v>0</v>
      </c>
      <c r="AK2" s="3">
        <v>0</v>
      </c>
      <c r="AL2" s="12">
        <v>1</v>
      </c>
      <c r="AM2" s="2" t="s">
        <v>92</v>
      </c>
      <c r="AN2" s="3">
        <v>0</v>
      </c>
      <c r="AO2" s="12">
        <v>1</v>
      </c>
      <c r="AP2" s="2" t="s">
        <v>95</v>
      </c>
      <c r="AQ2" s="3">
        <v>0</v>
      </c>
      <c r="AR2" s="12">
        <v>1</v>
      </c>
      <c r="AS2" s="2" t="s">
        <v>97</v>
      </c>
      <c r="AT2" s="2">
        <v>1</v>
      </c>
      <c r="AU2" s="3">
        <v>0</v>
      </c>
      <c r="AV2" s="12">
        <v>1</v>
      </c>
      <c r="AW2" s="2" t="s">
        <v>98</v>
      </c>
      <c r="AY2" s="3">
        <v>0</v>
      </c>
      <c r="AZ2" s="12">
        <v>1</v>
      </c>
      <c r="BA2" s="2" t="s">
        <v>99</v>
      </c>
      <c r="BB2" s="3">
        <v>0</v>
      </c>
      <c r="BC2" s="12">
        <v>1</v>
      </c>
      <c r="BD2" s="2" t="s">
        <v>128</v>
      </c>
      <c r="BE2" s="3">
        <v>0</v>
      </c>
      <c r="BF2" s="12">
        <v>1</v>
      </c>
      <c r="BG2" s="2" t="s">
        <v>130</v>
      </c>
      <c r="BH2" s="2">
        <v>0</v>
      </c>
      <c r="BI2" s="3">
        <v>0</v>
      </c>
      <c r="BJ2" s="12">
        <v>1</v>
      </c>
      <c r="BK2" s="15">
        <v>0</v>
      </c>
      <c r="BL2" s="14">
        <v>1</v>
      </c>
      <c r="BM2" s="16">
        <v>0.08</v>
      </c>
      <c r="BN2" s="2">
        <v>1</v>
      </c>
    </row>
    <row r="3" spans="1:66" ht="25.15" customHeight="1" x14ac:dyDescent="0.25">
      <c r="C3" s="2">
        <v>2</v>
      </c>
      <c r="D3" s="2" t="s">
        <v>75</v>
      </c>
      <c r="E3" s="3">
        <v>229000</v>
      </c>
      <c r="F3" s="2">
        <v>2</v>
      </c>
      <c r="G3" s="2" t="s">
        <v>61</v>
      </c>
      <c r="H3" s="3">
        <v>0</v>
      </c>
      <c r="I3" s="2">
        <v>2</v>
      </c>
      <c r="J3" s="2" t="s">
        <v>108</v>
      </c>
      <c r="K3" s="3">
        <v>30000</v>
      </c>
      <c r="L3" s="30">
        <v>2</v>
      </c>
      <c r="M3" s="30" t="s">
        <v>84</v>
      </c>
      <c r="N3" s="32">
        <v>9300</v>
      </c>
      <c r="O3" s="2">
        <v>2</v>
      </c>
      <c r="P3" s="2" t="s">
        <v>39</v>
      </c>
      <c r="Q3" s="3">
        <v>10320</v>
      </c>
      <c r="R3" s="2">
        <v>2</v>
      </c>
      <c r="S3" s="2" t="s">
        <v>41</v>
      </c>
      <c r="T3" s="3">
        <v>5780</v>
      </c>
      <c r="U3" s="2">
        <v>2</v>
      </c>
      <c r="V3" s="2" t="s">
        <v>50</v>
      </c>
      <c r="W3" s="3">
        <v>12000</v>
      </c>
      <c r="X3" s="2">
        <v>2</v>
      </c>
      <c r="Y3" s="2" t="s">
        <v>70</v>
      </c>
      <c r="Z3" s="3">
        <v>165000</v>
      </c>
      <c r="AA3" s="2">
        <v>2</v>
      </c>
      <c r="AD3" s="12">
        <v>2</v>
      </c>
      <c r="AE3" s="2" t="s">
        <v>124</v>
      </c>
      <c r="AG3" s="3">
        <v>1250</v>
      </c>
      <c r="AH3" s="2">
        <v>2</v>
      </c>
      <c r="AL3" s="12">
        <v>2</v>
      </c>
      <c r="AM3" s="2" t="s">
        <v>93</v>
      </c>
      <c r="AN3" s="3">
        <v>5800</v>
      </c>
      <c r="AO3" s="12">
        <v>2</v>
      </c>
      <c r="AP3" s="2" t="s">
        <v>96</v>
      </c>
      <c r="AQ3" s="3">
        <v>2800</v>
      </c>
      <c r="AR3" s="12">
        <v>2</v>
      </c>
      <c r="AS3" s="9" t="s">
        <v>127</v>
      </c>
      <c r="AT3" s="2">
        <v>1</v>
      </c>
      <c r="AU3" s="3">
        <v>5400</v>
      </c>
      <c r="AV3" s="12">
        <v>2</v>
      </c>
      <c r="AW3" s="9"/>
      <c r="AX3" s="9"/>
      <c r="AZ3" s="12">
        <v>2</v>
      </c>
      <c r="BA3" s="9" t="s">
        <v>100</v>
      </c>
      <c r="BB3" s="3">
        <v>3000</v>
      </c>
      <c r="BC3" s="12">
        <v>2</v>
      </c>
      <c r="BD3" s="2" t="s">
        <v>129</v>
      </c>
      <c r="BE3" s="3">
        <v>5000</v>
      </c>
      <c r="BF3" s="12">
        <v>2</v>
      </c>
      <c r="BG3" s="2" t="s">
        <v>131</v>
      </c>
      <c r="BH3" s="2">
        <v>1</v>
      </c>
      <c r="BI3" s="3">
        <v>200</v>
      </c>
      <c r="BJ3" s="12">
        <v>2</v>
      </c>
      <c r="BK3" s="16">
        <f>0.055%*100</f>
        <v>5.5E-2</v>
      </c>
      <c r="BL3" s="14">
        <v>0.94499999999999995</v>
      </c>
      <c r="BM3" s="16">
        <v>6.4000000000000001E-2</v>
      </c>
      <c r="BN3" s="2">
        <v>2</v>
      </c>
    </row>
    <row r="4" spans="1:66" ht="25.15" customHeight="1" x14ac:dyDescent="0.25">
      <c r="C4" s="2">
        <v>3</v>
      </c>
      <c r="D4" s="2" t="s">
        <v>76</v>
      </c>
      <c r="E4" s="3">
        <v>335600</v>
      </c>
      <c r="F4" s="2">
        <v>3</v>
      </c>
      <c r="G4" s="34" t="s">
        <v>107</v>
      </c>
      <c r="H4" s="3">
        <v>20750</v>
      </c>
      <c r="I4" s="2">
        <v>3</v>
      </c>
      <c r="J4" s="2" t="s">
        <v>109</v>
      </c>
      <c r="K4" s="3">
        <v>34000</v>
      </c>
      <c r="L4" s="30">
        <v>3</v>
      </c>
      <c r="M4" s="30" t="s">
        <v>85</v>
      </c>
      <c r="N4" s="32">
        <v>9300</v>
      </c>
      <c r="O4" s="2">
        <v>3</v>
      </c>
      <c r="P4" s="2" t="s">
        <v>40</v>
      </c>
      <c r="Q4" s="3">
        <v>14000</v>
      </c>
      <c r="R4" s="2">
        <v>3</v>
      </c>
      <c r="S4" s="2" t="s">
        <v>42</v>
      </c>
      <c r="T4" s="3">
        <v>11560</v>
      </c>
      <c r="U4" s="2">
        <v>3</v>
      </c>
      <c r="V4" s="2" t="s">
        <v>51</v>
      </c>
      <c r="W4" s="3">
        <v>15500</v>
      </c>
      <c r="AA4" s="2">
        <v>3</v>
      </c>
      <c r="AB4" s="2" t="s">
        <v>58</v>
      </c>
      <c r="AC4" s="3">
        <v>0</v>
      </c>
      <c r="AD4" s="12">
        <v>3</v>
      </c>
      <c r="AG4" s="3"/>
      <c r="AH4" s="2">
        <v>3</v>
      </c>
      <c r="AI4" s="2" t="s">
        <v>90</v>
      </c>
      <c r="AJ4" s="2">
        <v>1</v>
      </c>
      <c r="AK4" s="3">
        <v>4950</v>
      </c>
      <c r="AL4" s="12">
        <v>3</v>
      </c>
      <c r="AM4" s="2" t="s">
        <v>94</v>
      </c>
      <c r="AN4" s="3">
        <v>9800</v>
      </c>
      <c r="AW4" s="2" t="s">
        <v>71</v>
      </c>
      <c r="AY4" s="3">
        <v>55000</v>
      </c>
      <c r="BC4" s="12"/>
      <c r="BF4" s="12"/>
      <c r="BI4" s="3"/>
      <c r="BJ4" s="12">
        <v>3</v>
      </c>
      <c r="BK4" s="16">
        <f>0.106%*100</f>
        <v>0.106</v>
      </c>
      <c r="BL4" s="14">
        <v>0.89400000000000002</v>
      </c>
      <c r="BM4" s="16">
        <v>4.8000000000000001E-2</v>
      </c>
      <c r="BN4" s="2">
        <v>3</v>
      </c>
    </row>
    <row r="5" spans="1:66" ht="25.15" customHeight="1" x14ac:dyDescent="0.25">
      <c r="C5" s="2">
        <v>4</v>
      </c>
      <c r="D5" s="2" t="s">
        <v>77</v>
      </c>
      <c r="E5" s="3">
        <v>455000</v>
      </c>
      <c r="I5" s="2">
        <v>4</v>
      </c>
      <c r="J5" s="2" t="s">
        <v>110</v>
      </c>
      <c r="K5" s="3">
        <v>37370</v>
      </c>
      <c r="O5" s="2">
        <v>4</v>
      </c>
      <c r="P5" s="2" t="s">
        <v>68</v>
      </c>
      <c r="Q5" s="3">
        <v>295000</v>
      </c>
      <c r="R5" s="2">
        <v>4</v>
      </c>
      <c r="S5" s="2" t="s">
        <v>43</v>
      </c>
      <c r="T5" s="3">
        <v>2800</v>
      </c>
      <c r="U5" s="2">
        <v>4</v>
      </c>
      <c r="V5" s="2" t="s">
        <v>52</v>
      </c>
      <c r="W5" s="3">
        <v>29000</v>
      </c>
      <c r="AA5" s="2">
        <v>4</v>
      </c>
      <c r="AD5" s="12">
        <v>4</v>
      </c>
      <c r="AG5" s="3"/>
      <c r="AH5" s="2">
        <v>4</v>
      </c>
      <c r="AI5" s="2" t="s">
        <v>91</v>
      </c>
      <c r="AJ5" s="2">
        <v>1</v>
      </c>
      <c r="AK5" s="3">
        <v>5800</v>
      </c>
      <c r="BN5" s="2">
        <v>4</v>
      </c>
    </row>
    <row r="6" spans="1:66" ht="25.15" customHeight="1" x14ac:dyDescent="0.25">
      <c r="C6" s="2">
        <v>5</v>
      </c>
      <c r="D6" s="2" t="s">
        <v>78</v>
      </c>
      <c r="E6" s="3">
        <v>789000</v>
      </c>
      <c r="I6" s="2">
        <v>5</v>
      </c>
      <c r="J6" s="2" t="s">
        <v>111</v>
      </c>
      <c r="K6" s="3">
        <v>59000</v>
      </c>
      <c r="O6" s="2">
        <v>5</v>
      </c>
      <c r="P6" s="2" t="s">
        <v>67</v>
      </c>
      <c r="Q6" s="3">
        <v>255000</v>
      </c>
      <c r="R6" s="2">
        <v>5</v>
      </c>
      <c r="S6" s="2" t="s">
        <v>69</v>
      </c>
      <c r="T6" s="3">
        <v>5600</v>
      </c>
      <c r="U6" s="2">
        <v>5</v>
      </c>
      <c r="V6" s="2" t="s">
        <v>121</v>
      </c>
      <c r="W6" s="3">
        <v>87500</v>
      </c>
      <c r="AA6" s="2">
        <v>5</v>
      </c>
      <c r="AB6" s="2" t="s">
        <v>59</v>
      </c>
      <c r="AC6" s="3">
        <v>-25000</v>
      </c>
      <c r="BN6" s="2">
        <v>5</v>
      </c>
    </row>
    <row r="7" spans="1:66" ht="25.15" customHeight="1" x14ac:dyDescent="0.25">
      <c r="C7" s="2">
        <v>6</v>
      </c>
      <c r="D7" s="34" t="s">
        <v>79</v>
      </c>
      <c r="E7" s="3">
        <v>986000</v>
      </c>
      <c r="I7" s="2">
        <v>6</v>
      </c>
      <c r="J7" s="2" t="s">
        <v>113</v>
      </c>
      <c r="K7" s="3">
        <v>52500</v>
      </c>
      <c r="R7" s="2">
        <v>6</v>
      </c>
      <c r="S7" s="2" t="s">
        <v>44</v>
      </c>
      <c r="T7" s="3">
        <v>0</v>
      </c>
      <c r="U7" s="2">
        <v>6</v>
      </c>
      <c r="V7" s="2" t="s">
        <v>53</v>
      </c>
      <c r="W7" s="3">
        <v>0</v>
      </c>
      <c r="AA7" s="2">
        <v>6</v>
      </c>
      <c r="AB7" s="2" t="s">
        <v>60</v>
      </c>
      <c r="AC7" s="3">
        <v>0</v>
      </c>
    </row>
    <row r="8" spans="1:66" ht="25.15" customHeight="1" x14ac:dyDescent="0.25">
      <c r="I8" s="2">
        <v>7</v>
      </c>
      <c r="J8" s="2" t="s">
        <v>112</v>
      </c>
      <c r="K8" s="3">
        <v>46320</v>
      </c>
      <c r="R8" s="2">
        <v>7</v>
      </c>
      <c r="S8" s="2" t="s">
        <v>45</v>
      </c>
      <c r="T8" s="3">
        <v>7000</v>
      </c>
      <c r="U8" s="2">
        <v>7</v>
      </c>
      <c r="V8" s="2" t="s">
        <v>54</v>
      </c>
      <c r="W8" s="3">
        <v>12300</v>
      </c>
    </row>
    <row r="9" spans="1:66" ht="25.15" customHeight="1" x14ac:dyDescent="0.25">
      <c r="I9" s="2">
        <v>8</v>
      </c>
      <c r="J9" s="2" t="s">
        <v>114</v>
      </c>
      <c r="K9" s="3">
        <v>66000</v>
      </c>
      <c r="R9" s="2">
        <v>8</v>
      </c>
      <c r="S9" s="2" t="s">
        <v>46</v>
      </c>
      <c r="T9" s="3">
        <v>14000</v>
      </c>
      <c r="U9" s="2">
        <v>8</v>
      </c>
      <c r="V9" s="2" t="s">
        <v>55</v>
      </c>
      <c r="W9" s="3">
        <v>20500</v>
      </c>
    </row>
    <row r="10" spans="1:66" ht="25.15" customHeight="1" x14ac:dyDescent="0.25">
      <c r="I10" s="2">
        <v>9</v>
      </c>
      <c r="J10" s="2" t="s">
        <v>115</v>
      </c>
      <c r="K10" s="3">
        <v>59500</v>
      </c>
      <c r="R10" s="2">
        <v>9</v>
      </c>
      <c r="S10" s="2" t="s">
        <v>47</v>
      </c>
      <c r="T10" s="3">
        <v>9500</v>
      </c>
      <c r="U10" s="2">
        <v>9</v>
      </c>
      <c r="V10" s="2" t="s">
        <v>56</v>
      </c>
      <c r="W10" s="3">
        <v>35000</v>
      </c>
    </row>
    <row r="11" spans="1:66" ht="25.15" customHeight="1" x14ac:dyDescent="0.25">
      <c r="I11" s="2">
        <v>10</v>
      </c>
      <c r="J11" s="2" t="s">
        <v>116</v>
      </c>
      <c r="K11" s="3">
        <v>46000</v>
      </c>
      <c r="R11" s="2">
        <v>10</v>
      </c>
      <c r="S11" s="2" t="s">
        <v>48</v>
      </c>
      <c r="T11" s="3">
        <v>19000</v>
      </c>
      <c r="U11" s="2">
        <v>10</v>
      </c>
      <c r="V11" s="2" t="s">
        <v>122</v>
      </c>
      <c r="W11" s="4">
        <v>174000</v>
      </c>
      <c r="X11" s="5"/>
    </row>
    <row r="12" spans="1:66" ht="25.15" customHeight="1" x14ac:dyDescent="0.25">
      <c r="I12" s="2">
        <v>11</v>
      </c>
      <c r="J12" s="2" t="s">
        <v>117</v>
      </c>
      <c r="K12" s="3">
        <v>116000</v>
      </c>
      <c r="V12" s="2" t="s">
        <v>123</v>
      </c>
      <c r="W12" s="3">
        <v>194000</v>
      </c>
    </row>
    <row r="13" spans="1:66" ht="25.15" customHeight="1" x14ac:dyDescent="0.25">
      <c r="I13" s="2">
        <v>12</v>
      </c>
      <c r="J13" s="2" t="s">
        <v>118</v>
      </c>
      <c r="K13" s="3">
        <v>77000</v>
      </c>
    </row>
    <row r="14" spans="1:66" ht="25.15" customHeight="1" x14ac:dyDescent="0.25">
      <c r="I14" s="2">
        <v>13</v>
      </c>
      <c r="J14" s="34" t="s">
        <v>119</v>
      </c>
      <c r="K14" s="3">
        <v>150000</v>
      </c>
    </row>
    <row r="15" spans="1:66" ht="25.15" customHeight="1" x14ac:dyDescent="0.25">
      <c r="I15" s="2">
        <v>14</v>
      </c>
      <c r="J15" s="2" t="s">
        <v>120</v>
      </c>
      <c r="K15" s="3">
        <v>95000</v>
      </c>
    </row>
    <row r="16" spans="1:66" ht="25.15" customHeight="1" x14ac:dyDescent="0.25">
      <c r="W16" s="4"/>
      <c r="X16" s="5"/>
    </row>
    <row r="17" spans="23:24" ht="25.15" customHeight="1" x14ac:dyDescent="0.25"/>
    <row r="18" spans="23:24" ht="25.15" customHeight="1" x14ac:dyDescent="0.25"/>
    <row r="19" spans="23:24" ht="25.15" customHeight="1" x14ac:dyDescent="0.25"/>
    <row r="20" spans="23:24" ht="25.15" customHeight="1" x14ac:dyDescent="0.25"/>
    <row r="21" spans="23:24" ht="25.15" customHeight="1" x14ac:dyDescent="0.25">
      <c r="W21" s="4"/>
      <c r="X21" s="5"/>
    </row>
    <row r="22" spans="23:24" ht="25.15" customHeight="1" x14ac:dyDescent="0.25"/>
    <row r="23" spans="23:24" ht="25.15" customHeight="1" x14ac:dyDescent="0.25"/>
    <row r="24" spans="23:24" ht="25.15" customHeight="1" x14ac:dyDescent="0.25"/>
    <row r="25" spans="23:24" ht="25.15" customHeight="1" x14ac:dyDescent="0.25"/>
    <row r="26" spans="23:24" ht="25.15" customHeight="1" x14ac:dyDescent="0.25">
      <c r="W26" s="4"/>
      <c r="X26" s="5"/>
    </row>
    <row r="27" spans="23:24" ht="25.15" customHeight="1" x14ac:dyDescent="0.25"/>
    <row r="28" spans="23:24" ht="25.15" customHeight="1" x14ac:dyDescent="0.25"/>
    <row r="29" spans="23:24" ht="25.15" customHeight="1" x14ac:dyDescent="0.25"/>
    <row r="30" spans="23:24" ht="25.15" customHeight="1" x14ac:dyDescent="0.25"/>
    <row r="31" spans="23:24" ht="25.15" customHeight="1" x14ac:dyDescent="0.25"/>
    <row r="32" spans="23:24" ht="25.15" customHeight="1" x14ac:dyDescent="0.25"/>
    <row r="33" ht="25.15" customHeight="1" x14ac:dyDescent="0.25"/>
    <row r="34" ht="25.15" customHeight="1" x14ac:dyDescent="0.25"/>
    <row r="35" ht="25.15" customHeight="1" x14ac:dyDescent="0.25"/>
    <row r="36" ht="25.15" customHeight="1" x14ac:dyDescent="0.25"/>
    <row r="37" ht="25.15" customHeight="1" x14ac:dyDescent="0.25"/>
    <row r="38" ht="25.15" customHeight="1" x14ac:dyDescent="0.25"/>
    <row r="39" ht="25.15" customHeight="1" x14ac:dyDescent="0.25"/>
    <row r="40" ht="25.15" customHeight="1" x14ac:dyDescent="0.25"/>
    <row r="41" ht="25.15" customHeight="1" x14ac:dyDescent="0.25"/>
    <row r="42" ht="25.15" customHeight="1" x14ac:dyDescent="0.25"/>
    <row r="43" ht="25.15" customHeight="1" x14ac:dyDescent="0.25"/>
    <row r="44" ht="25.15" customHeight="1" x14ac:dyDescent="0.25"/>
    <row r="45" ht="25.15" customHeight="1" x14ac:dyDescent="0.25"/>
    <row r="46" ht="25.15" customHeight="1" x14ac:dyDescent="0.25"/>
    <row r="47" ht="25.15" customHeight="1" x14ac:dyDescent="0.25"/>
    <row r="48" ht="25.15" customHeight="1" x14ac:dyDescent="0.25"/>
    <row r="49" ht="25.15" customHeight="1" x14ac:dyDescent="0.25"/>
    <row r="50" ht="25.15" customHeight="1" x14ac:dyDescent="0.25"/>
    <row r="51" ht="25.15" customHeight="1" x14ac:dyDescent="0.25"/>
    <row r="52" ht="25.15" customHeight="1" x14ac:dyDescent="0.25"/>
    <row r="53" ht="25.15" customHeight="1" x14ac:dyDescent="0.25"/>
    <row r="54" ht="25.15" customHeight="1" x14ac:dyDescent="0.25"/>
    <row r="55" ht="25.15" customHeight="1" x14ac:dyDescent="0.25"/>
    <row r="56" ht="25.15" customHeight="1" x14ac:dyDescent="0.25"/>
    <row r="57" ht="25.15" customHeight="1" x14ac:dyDescent="0.25"/>
    <row r="58" ht="25.15" customHeight="1" x14ac:dyDescent="0.25"/>
    <row r="59" ht="25.15" customHeight="1" x14ac:dyDescent="0.25"/>
    <row r="60" ht="25.15" customHeight="1" x14ac:dyDescent="0.25"/>
    <row r="61" ht="25.15" customHeight="1" x14ac:dyDescent="0.25"/>
    <row r="62" ht="25.15" customHeight="1" x14ac:dyDescent="0.25"/>
    <row r="63" ht="25.15" customHeight="1" x14ac:dyDescent="0.25"/>
    <row r="64" ht="25.15" customHeight="1" x14ac:dyDescent="0.25"/>
    <row r="65" ht="25.15" customHeight="1" x14ac:dyDescent="0.25"/>
    <row r="66" ht="25.15" customHeight="1" x14ac:dyDescent="0.25"/>
    <row r="67" ht="25.15" customHeight="1" x14ac:dyDescent="0.25"/>
    <row r="68" ht="25.15" customHeight="1" x14ac:dyDescent="0.25"/>
    <row r="69" ht="25.15" customHeight="1" x14ac:dyDescent="0.25"/>
    <row r="70" ht="25.15" customHeight="1" x14ac:dyDescent="0.25"/>
    <row r="71" ht="25.15" customHeight="1" x14ac:dyDescent="0.25"/>
    <row r="72" ht="25.15" customHeight="1" x14ac:dyDescent="0.25"/>
    <row r="73" ht="25.15" customHeight="1" x14ac:dyDescent="0.25"/>
    <row r="74" ht="25.15" customHeight="1" x14ac:dyDescent="0.25"/>
    <row r="75" ht="25.15" customHeight="1" x14ac:dyDescent="0.25"/>
    <row r="76" ht="25.15" customHeight="1" x14ac:dyDescent="0.25"/>
    <row r="77" ht="25.15" customHeight="1" x14ac:dyDescent="0.25"/>
    <row r="78" ht="25.15" customHeight="1" x14ac:dyDescent="0.25"/>
    <row r="79" ht="25.15" customHeight="1" x14ac:dyDescent="0.25"/>
    <row r="80" ht="25.15" customHeight="1" x14ac:dyDescent="0.25"/>
    <row r="81" ht="25.15" customHeight="1" x14ac:dyDescent="0.25"/>
    <row r="82" ht="25.15" customHeight="1" x14ac:dyDescent="0.25"/>
    <row r="83" ht="25.15" customHeight="1" x14ac:dyDescent="0.25"/>
    <row r="84" ht="25.15" customHeight="1" x14ac:dyDescent="0.25"/>
    <row r="85" ht="25.15" customHeight="1" x14ac:dyDescent="0.25"/>
    <row r="86" ht="25.15" customHeight="1" x14ac:dyDescent="0.25"/>
    <row r="87" ht="25.15" customHeight="1" x14ac:dyDescent="0.25"/>
    <row r="88" ht="25.15" customHeight="1" x14ac:dyDescent="0.25"/>
    <row r="89" ht="25.15" customHeight="1" x14ac:dyDescent="0.25"/>
    <row r="90" ht="25.15" customHeight="1" x14ac:dyDescent="0.25"/>
    <row r="91" ht="25.15" customHeight="1" x14ac:dyDescent="0.25"/>
    <row r="92" ht="25.15" customHeight="1" x14ac:dyDescent="0.25"/>
    <row r="93" ht="25.15" customHeight="1" x14ac:dyDescent="0.25"/>
    <row r="94" ht="25.15" customHeight="1" x14ac:dyDescent="0.25"/>
    <row r="95" ht="25.15" customHeight="1" x14ac:dyDescent="0.25"/>
    <row r="96" ht="25.15" customHeight="1" x14ac:dyDescent="0.25"/>
    <row r="97" ht="25.15" customHeight="1" x14ac:dyDescent="0.25"/>
    <row r="98" ht="25.15" customHeight="1" x14ac:dyDescent="0.25"/>
    <row r="99" ht="25.15" customHeight="1" x14ac:dyDescent="0.25"/>
    <row r="100" ht="25.15" customHeight="1" x14ac:dyDescent="0.25"/>
    <row r="101" ht="25.15" customHeight="1" x14ac:dyDescent="0.25"/>
    <row r="102" ht="25.15" customHeight="1" x14ac:dyDescent="0.25"/>
    <row r="103" ht="25.15" customHeight="1" x14ac:dyDescent="0.25"/>
    <row r="104" ht="25.15" customHeight="1" x14ac:dyDescent="0.25"/>
    <row r="105" ht="25.15" customHeight="1" x14ac:dyDescent="0.25"/>
    <row r="106" ht="25.15" customHeight="1" x14ac:dyDescent="0.25"/>
    <row r="107" ht="25.15" customHeight="1" x14ac:dyDescent="0.25"/>
    <row r="108" ht="25.15" customHeight="1" x14ac:dyDescent="0.25"/>
    <row r="109" ht="25.15" customHeight="1" x14ac:dyDescent="0.25"/>
  </sheetData>
  <autoFilter ref="A1:BL1" xr:uid="{03F65E94-A13B-4A57-8C44-E8AAF888CBF4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PRECIFICADOR</vt:lpstr>
      <vt:lpstr>COMBINAÇÕES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 Anders</dc:creator>
  <cp:lastModifiedBy>Daniel Anders</cp:lastModifiedBy>
  <dcterms:created xsi:type="dcterms:W3CDTF">2025-05-30T00:29:33Z</dcterms:created>
  <dcterms:modified xsi:type="dcterms:W3CDTF">2025-07-16T13:17:30Z</dcterms:modified>
</cp:coreProperties>
</file>